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haredStrings.xml" ContentType="application/vnd.openxmlformats-officedocument.spreadsheetml.sharedStrings+xml"/>
  <Override PartName="/xl/worksheets/sheet31.xml" ContentType="application/vnd.openxmlformats-officedocument.spreadsheetml.worksheet+xml"/>
  <Override PartName="/xl/tables/table31.xml" ContentType="application/vnd.openxmlformats-officedocument.spreadsheetml.table+xml"/>
  <Override PartName="/xl/drawings/drawing31.xml" ContentType="application/vnd.openxmlformats-officedocument.drawing+xml"/>
  <Override PartName="/xl/styles.xml" ContentType="application/vnd.openxmlformats-officedocument.spreadsheetml.styles+xml"/>
  <Override PartName="/xl/worksheets/sheet22.xml" ContentType="application/vnd.openxmlformats-officedocument.spreadsheetml.worksheet+xml"/>
  <Override PartName="/xl/tables/table22.xml" ContentType="application/vnd.openxmlformats-officedocument.spreadsheetml.table+xml"/>
  <Override PartName="/xl/drawings/drawing22.xml" ContentType="application/vnd.openxmlformats-officedocument.drawing+xml"/>
  <Override PartName="/xl/worksheets/sheet13.xml" ContentType="application/vnd.openxmlformats-officedocument.spreadsheetml.worksheet+xml"/>
  <Override PartName="/xl/tables/table13.xml" ContentType="application/vnd.openxmlformats-officedocument.spreadsheetml.table+xml"/>
  <Override PartName="/xl/drawings/drawing13.xml" ContentType="application/vnd.openxmlformats-officedocument.drawing+xml"/>
  <Override PartName="/xl/theme/theme11.xml" ContentType="application/vnd.openxmlformats-officedocument.theme+xml"/>
  <Override PartName="/xl/worksheets/sheet54.xml" ContentType="application/vnd.openxmlformats-officedocument.spreadsheetml.worksheet+xml"/>
  <Override PartName="/xl/drawings/drawing54.xml" ContentType="application/vnd.openxmlformats-officedocument.drawing+xml"/>
  <Override PartName="/xl/worksheets/sheet45.xml" ContentType="application/vnd.openxmlformats-officedocument.spreadsheetml.worksheet+xml"/>
  <Override PartName="/xl/tables/table44.xml" ContentType="application/vnd.openxmlformats-officedocument.spreadsheetml.table+xml"/>
  <Override PartName="/xl/drawings/drawing45.xml" ContentType="application/vnd.openxmlformats-officedocument.drawing+xml"/>
  <Override PartName="/xl/calcChain.xml" ContentType="application/vnd.openxmlformats-officedocument.spreadsheetml.calcChain+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workbookPr codeName="ThisWorkbook"/>
  <mc:AlternateContent xmlns:mc="http://schemas.openxmlformats.org/markup-compatibility/2006">
    <mc:Choice Requires="x15">
      <x15ac:absPath xmlns:x15ac="http://schemas.microsoft.com/office/spreadsheetml/2010/11/ac" url="F:\Template\WordTech_20190719_Excel_Word_Win32_Q1_P2\04_PreDTP_Done\es-ES\"/>
    </mc:Choice>
  </mc:AlternateContent>
  <xr:revisionPtr revIDLastSave="0" documentId="13_ncr:1_{D99337D5-6FB9-4E0F-B5E0-10D20926D1AD}" xr6:coauthVersionLast="43" xr6:coauthVersionMax="44" xr10:uidLastSave="{00000000-0000-0000-0000-000000000000}"/>
  <bookViews>
    <workbookView xWindow="-28920" yWindow="-120" windowWidth="29040" windowHeight="15840" xr2:uid="{00000000-000D-0000-FFFF-FFFF00000000}"/>
  </bookViews>
  <sheets>
    <sheet name="Factura" sheetId="1" r:id="rId1"/>
    <sheet name="Clientes" sheetId="3" r:id="rId2"/>
    <sheet name="Facturas - principales" sheetId="2" r:id="rId3"/>
    <sheet name="Detalles de la factura" sheetId="4" r:id="rId4"/>
    <sheet name="Acerca de este rastreador de fa" sheetId="6" r:id="rId5"/>
  </sheets>
  <definedNames>
    <definedName name="CustomerLookup">CustomerList[Búsqueda]</definedName>
    <definedName name="Invoice_No">InvoicesMain[N.º de factura]</definedName>
    <definedName name="InvoiceNoDetails">"InvoiceDetails[Invoice No]"</definedName>
    <definedName name="Nombre_De_La_Empresa">Factura!$B$1</definedName>
    <definedName name="_xlnm.Print_Titles" localSheetId="1">Clientes!$1:$3</definedName>
    <definedName name="_xlnm.Print_Titles" localSheetId="3">'Detalles de la factura'!$1:$3</definedName>
    <definedName name="_xlnm.Print_Titles" localSheetId="2">'Facturas - principales'!$1:$3</definedName>
    <definedName name="rngInvoice">Factura!$G$4</definedName>
  </definedName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6" i="3" l="1"/>
  <c r="B7" i="1" l="1"/>
  <c r="C6" i="2" l="1"/>
  <c r="B38" i="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E10" i="1" a="1"/>
  <c r="E10" i="1" s="1"/>
  <c r="E11" i="1" a="1"/>
  <c r="E11" i="1" s="1"/>
  <c r="E12" i="1" a="1"/>
  <c r="E12" i="1" s="1"/>
  <c r="E13" i="1" a="1"/>
  <c r="E13" i="1" s="1"/>
  <c r="E14" i="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28" i="1" a="1"/>
  <c r="E28" i="1" s="1"/>
  <c r="E29" i="1" a="1"/>
  <c r="E29" i="1" s="1"/>
  <c r="E30" i="1" a="1"/>
  <c r="E30" i="1" s="1"/>
  <c r="E31" i="1" a="1"/>
  <c r="E31" i="1" s="1"/>
  <c r="E32" i="1" a="1"/>
  <c r="E32" i="1" s="1"/>
  <c r="E33" i="1" a="1"/>
  <c r="E33" i="1" s="1"/>
  <c r="D10" i="1" a="1"/>
  <c r="D10" i="1" s="1"/>
  <c r="D11" i="1" a="1"/>
  <c r="D11" i="1" s="1"/>
  <c r="D12" i="1" a="1"/>
  <c r="D12" i="1" s="1"/>
  <c r="D13" i="1" a="1"/>
  <c r="D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G28" i="1" s="1"/>
  <c r="D29" i="1" a="1"/>
  <c r="D29" i="1" s="1"/>
  <c r="D30" i="1" a="1"/>
  <c r="D30" i="1" s="1"/>
  <c r="G30" i="1" s="1"/>
  <c r="D31" i="1" a="1"/>
  <c r="D31" i="1" s="1"/>
  <c r="D32" i="1" a="1"/>
  <c r="D32" i="1" s="1"/>
  <c r="G32" i="1" s="1"/>
  <c r="D33" i="1" a="1"/>
  <c r="D33" i="1" s="1"/>
  <c r="C10" i="1" a="1"/>
  <c r="C10" i="1" s="1"/>
  <c r="C11" i="1" a="1"/>
  <c r="C11" i="1" s="1"/>
  <c r="C12" i="1" a="1"/>
  <c r="C12" i="1" s="1"/>
  <c r="C13" i="1" a="1"/>
  <c r="C13" i="1" s="1"/>
  <c r="C14" i="1" a="1"/>
  <c r="C14" i="1" s="1"/>
  <c r="C15" i="1" a="1"/>
  <c r="C15" i="1" s="1"/>
  <c r="C16" i="1" a="1"/>
  <c r="C16" i="1" s="1"/>
  <c r="C17" i="1" a="1"/>
  <c r="C17" i="1" s="1"/>
  <c r="C18" i="1" a="1"/>
  <c r="C18" i="1" s="1"/>
  <c r="C19" i="1" a="1"/>
  <c r="C19" i="1" s="1"/>
  <c r="C20" i="1" a="1"/>
  <c r="C20" i="1" s="1"/>
  <c r="C21" i="1" a="1"/>
  <c r="C21" i="1" s="1"/>
  <c r="C22" i="1" a="1"/>
  <c r="C22" i="1" s="1"/>
  <c r="C23" i="1" a="1"/>
  <c r="C23" i="1" s="1"/>
  <c r="C24" i="1" a="1"/>
  <c r="C24" i="1" s="1"/>
  <c r="C25" i="1" a="1"/>
  <c r="C25" i="1" s="1"/>
  <c r="C26" i="1" a="1"/>
  <c r="C26" i="1" s="1"/>
  <c r="C27" i="1" a="1"/>
  <c r="C27" i="1" s="1"/>
  <c r="C28" i="1" a="1"/>
  <c r="C28" i="1" s="1"/>
  <c r="C29" i="1" a="1"/>
  <c r="C29" i="1" s="1"/>
  <c r="C30" i="1" a="1"/>
  <c r="C30" i="1" s="1"/>
  <c r="C31" i="1" a="1"/>
  <c r="C31" i="1" s="1"/>
  <c r="C32" i="1" a="1"/>
  <c r="C32" i="1" s="1"/>
  <c r="C33" i="1" a="1"/>
  <c r="C33" i="1" s="1"/>
  <c r="B10" i="1" a="1"/>
  <c r="B10" i="1" s="1"/>
  <c r="B11" i="1" a="1"/>
  <c r="B11" i="1" s="1"/>
  <c r="B12" i="1" a="1"/>
  <c r="B12" i="1" s="1"/>
  <c r="B13" i="1" a="1"/>
  <c r="B13" i="1" s="1"/>
  <c r="B14" i="1" a="1"/>
  <c r="B14" i="1" s="1"/>
  <c r="B15" i="1" a="1"/>
  <c r="B15" i="1" s="1"/>
  <c r="B16" i="1" a="1"/>
  <c r="B16" i="1" s="1"/>
  <c r="B17" i="1" a="1"/>
  <c r="B17" i="1" s="1"/>
  <c r="B18" i="1" a="1"/>
  <c r="B18" i="1" s="1"/>
  <c r="B19" i="1" a="1"/>
  <c r="B19" i="1" s="1"/>
  <c r="B20" i="1" a="1"/>
  <c r="B20" i="1" s="1"/>
  <c r="B21" i="1" a="1"/>
  <c r="B21" i="1" s="1"/>
  <c r="B22" i="1" a="1"/>
  <c r="B22" i="1" s="1"/>
  <c r="B23" i="1" a="1"/>
  <c r="B23" i="1" s="1"/>
  <c r="B24" i="1" a="1"/>
  <c r="B24" i="1" s="1"/>
  <c r="B25" i="1" a="1"/>
  <c r="B25" i="1" s="1"/>
  <c r="B26" i="1" a="1"/>
  <c r="B26" i="1" s="1"/>
  <c r="B27" i="1" a="1"/>
  <c r="B27" i="1" s="1"/>
  <c r="B28" i="1" a="1"/>
  <c r="B28" i="1" s="1"/>
  <c r="B29" i="1" a="1"/>
  <c r="B29" i="1" s="1"/>
  <c r="B30" i="1" a="1"/>
  <c r="B30" i="1" s="1"/>
  <c r="B31" i="1" a="1"/>
  <c r="B31" i="1" s="1"/>
  <c r="B32" i="1" a="1"/>
  <c r="B32" i="1" s="1"/>
  <c r="B33" i="1" a="1"/>
  <c r="B33" i="1" s="1"/>
  <c r="F9" i="1" a="1"/>
  <c r="F9" i="1" s="1"/>
  <c r="E9" i="1" a="1"/>
  <c r="E9" i="1" s="1"/>
  <c r="D9" i="1" a="1"/>
  <c r="D9" i="1" s="1"/>
  <c r="C9" i="1" a="1"/>
  <c r="C9" i="1" s="1"/>
  <c r="B9" i="1" a="1"/>
  <c r="B9" i="1" s="1"/>
  <c r="G10" i="1" l="1"/>
  <c r="G11" i="1"/>
  <c r="G26" i="1"/>
  <c r="G24" i="1"/>
  <c r="G17" i="1"/>
  <c r="G15" i="1"/>
  <c r="G13" i="1"/>
  <c r="G16" i="1"/>
  <c r="G18" i="1"/>
  <c r="G33" i="1"/>
  <c r="G31" i="1"/>
  <c r="G29" i="1"/>
  <c r="G27" i="1"/>
  <c r="G25" i="1"/>
  <c r="G23" i="1"/>
  <c r="G19" i="1"/>
  <c r="G14" i="1"/>
  <c r="G12" i="1"/>
  <c r="G22" i="1"/>
  <c r="G20" i="1"/>
  <c r="G21" i="1"/>
  <c r="D5" i="2"/>
  <c r="D4" i="2"/>
  <c r="G37" i="1" l="1"/>
  <c r="G38" i="1"/>
  <c r="G5" i="1" l="1"/>
  <c r="G6" i="2" l="1"/>
  <c r="H6" i="2"/>
  <c r="H28" i="4" l="1"/>
  <c r="G35" i="1" l="1"/>
  <c r="H31" i="4"/>
  <c r="H32" i="4"/>
  <c r="H33" i="4"/>
  <c r="H34" i="4"/>
  <c r="H35" i="4"/>
  <c r="H36" i="4"/>
  <c r="H37" i="4"/>
  <c r="H38" i="4"/>
  <c r="H39" i="4"/>
  <c r="H40" i="4"/>
  <c r="H29" i="4"/>
  <c r="H4" i="4"/>
  <c r="H5" i="4"/>
  <c r="H6" i="4"/>
  <c r="H7" i="4"/>
  <c r="H8" i="4"/>
  <c r="H9" i="4"/>
  <c r="H10" i="4"/>
  <c r="H11" i="4"/>
  <c r="H12" i="4"/>
  <c r="H13" i="4"/>
  <c r="H14" i="4"/>
  <c r="H15" i="4"/>
  <c r="H16" i="4"/>
  <c r="H17" i="4"/>
  <c r="H18" i="4"/>
  <c r="H19" i="4"/>
  <c r="H20" i="4"/>
  <c r="H21" i="4"/>
  <c r="H22" i="4"/>
  <c r="H23" i="4"/>
  <c r="H24" i="4"/>
  <c r="H25" i="4"/>
  <c r="H26" i="4"/>
  <c r="H27" i="4"/>
  <c r="H30" i="4"/>
  <c r="I5" i="2" l="1"/>
  <c r="J5" i="2" s="1"/>
  <c r="I4" i="2"/>
  <c r="I6" i="2" l="1"/>
  <c r="J4" i="2"/>
  <c r="J6" i="2" s="1"/>
  <c r="G9" i="1" l="1"/>
  <c r="G34" i="1" l="1"/>
  <c r="G36" i="1" s="1"/>
  <c r="B5" i="3" l="1"/>
  <c r="B4" i="3"/>
  <c r="D6" i="1" l="1"/>
  <c r="C5" i="1"/>
  <c r="D5" i="1"/>
  <c r="C4" i="1"/>
  <c r="D4" i="1"/>
  <c r="C6" i="1"/>
  <c r="G39" i="1"/>
</calcChain>
</file>

<file path=xl/sharedStrings.xml><?xml version="1.0" encoding="utf-8"?>
<sst xmlns="http://schemas.openxmlformats.org/spreadsheetml/2006/main" count="225" uniqueCount="162">
  <si>
    <t>Nombre de la empresa</t>
  </si>
  <si>
    <t>Dirección postal</t>
  </si>
  <si>
    <t>Ciudad, estado, código postal</t>
  </si>
  <si>
    <t>Factura para:</t>
  </si>
  <si>
    <t>Dirección:</t>
  </si>
  <si>
    <t>Artículo nº</t>
  </si>
  <si>
    <t>Total a pagar en &lt;#&gt; días. Cuentas vencidas sujetas a un cargo por servicios de &lt;#&gt;% al mes.</t>
  </si>
  <si>
    <t>Descripción</t>
  </si>
  <si>
    <t>Telf.: Número de teléfono</t>
  </si>
  <si>
    <t>Fax: Número de fax</t>
  </si>
  <si>
    <t>Cant.</t>
  </si>
  <si>
    <t>Precio por unidad</t>
  </si>
  <si>
    <t>Correo electrónico</t>
  </si>
  <si>
    <t>Sitio web</t>
  </si>
  <si>
    <t>N.º de factura:</t>
  </si>
  <si>
    <t>Fecha de la factura:</t>
  </si>
  <si>
    <t>Descuento</t>
  </si>
  <si>
    <t>Subtotal de la factura</t>
  </si>
  <si>
    <t>Tipo impositivo</t>
  </si>
  <si>
    <t>Impuesto sobre las ventas</t>
  </si>
  <si>
    <t>Otros</t>
  </si>
  <si>
    <t>Depósito recibido</t>
  </si>
  <si>
    <t>TOTAL</t>
  </si>
  <si>
    <t>3-456-2</t>
  </si>
  <si>
    <t>Precio</t>
  </si>
  <si>
    <t>Búsqueda</t>
  </si>
  <si>
    <t>Totales</t>
  </si>
  <si>
    <t>Clientes</t>
  </si>
  <si>
    <t>N.º de compañía</t>
  </si>
  <si>
    <t xml:space="preserve">Tailspin Toys </t>
  </si>
  <si>
    <t>Contoso, Ltd</t>
  </si>
  <si>
    <t>Nombre de contacto</t>
  </si>
  <si>
    <t>Pedro Armijo</t>
  </si>
  <si>
    <t>Miguel Torrez</t>
  </si>
  <si>
    <t>Dirección</t>
  </si>
  <si>
    <t>345 Cherry Street</t>
  </si>
  <si>
    <t>567 Walnut Lane</t>
  </si>
  <si>
    <t>Ciudad</t>
  </si>
  <si>
    <t>Albany</t>
  </si>
  <si>
    <t>Moline</t>
  </si>
  <si>
    <t>Provincia</t>
  </si>
  <si>
    <t>SD</t>
  </si>
  <si>
    <t>MO</t>
  </si>
  <si>
    <t>Código postal</t>
  </si>
  <si>
    <t>123456</t>
  </si>
  <si>
    <t>098765</t>
  </si>
  <si>
    <t>Teléfono</t>
  </si>
  <si>
    <t>432-555-0178</t>
  </si>
  <si>
    <t>432-555-0189</t>
  </si>
  <si>
    <t>alguien@example.com</t>
  </si>
  <si>
    <t>Fax</t>
  </si>
  <si>
    <t>432-555-0187</t>
  </si>
  <si>
    <t>432-555-0123</t>
  </si>
  <si>
    <t>Facturas</t>
  </si>
  <si>
    <t>N.º de factura</t>
  </si>
  <si>
    <t>3-456-1</t>
  </si>
  <si>
    <t>Compañía</t>
  </si>
  <si>
    <t xml:space="preserve">1 - Tailspin Toys </t>
  </si>
  <si>
    <t>2 - Contoso, Ltd</t>
  </si>
  <si>
    <t>Fecha de la factura</t>
  </si>
  <si>
    <t>Descripción del proyecto</t>
  </si>
  <si>
    <t>Proyecto 1</t>
  </si>
  <si>
    <t>Proyecto 2</t>
  </si>
  <si>
    <t>Depósito</t>
  </si>
  <si>
    <t>Total de detalles</t>
  </si>
  <si>
    <t>Total de la factura</t>
  </si>
  <si>
    <t>Notas</t>
  </si>
  <si>
    <t>Detalles de la factura</t>
  </si>
  <si>
    <t>Factura 3-456-1 Datos 1</t>
  </si>
  <si>
    <t>Factura 3-456-1 Datos 2</t>
  </si>
  <si>
    <t>Factura 3-456-1 Datos 3</t>
  </si>
  <si>
    <t>Factura 3-456-1 Datos 4</t>
  </si>
  <si>
    <t>Factura 3-456-1 Datos 5</t>
  </si>
  <si>
    <t>Factura 3-456-1 Datos 6</t>
  </si>
  <si>
    <t>Factura 3-456-1 Datos 7</t>
  </si>
  <si>
    <t>Factura 3-456-1 Datos 8</t>
  </si>
  <si>
    <t>Factura 3-456-1 Datos 9</t>
  </si>
  <si>
    <t>Factura 3-456-1 Datos 10</t>
  </si>
  <si>
    <t>Factura 3-456-1 Datos 11</t>
  </si>
  <si>
    <t>Factura 3-456-1 Datos 12</t>
  </si>
  <si>
    <t>Factura 3-456-1 Datos 13</t>
  </si>
  <si>
    <t>Factura 3-456-1 Datos 14</t>
  </si>
  <si>
    <t>Factura 3-456-1 Datos 15</t>
  </si>
  <si>
    <t>Factura 3-456-1 Datos 16</t>
  </si>
  <si>
    <t>Factura 3-456-1 Datos 17</t>
  </si>
  <si>
    <t>Factura 3-456-1 Datos 18</t>
  </si>
  <si>
    <t>Factura 3-456-1 Datos 19</t>
  </si>
  <si>
    <t>Factura 3-456-1 Datos 20</t>
  </si>
  <si>
    <t>Factura 3-456-1 Datos 21</t>
  </si>
  <si>
    <t>Factura 3-456-1 Datos 22</t>
  </si>
  <si>
    <t>Factura 3-456-1 Datos 23</t>
  </si>
  <si>
    <t>Factura 3-456-1 Datos 24</t>
  </si>
  <si>
    <t>Factura 3-456-1 Datos 25</t>
  </si>
  <si>
    <t>Factura 3-456-2 Datos 1</t>
  </si>
  <si>
    <t>Factura 3-456-2 Datos 2</t>
  </si>
  <si>
    <t>Factura 3-456-2 Datos 3</t>
  </si>
  <si>
    <t>Factura 3-456-2 Datos 4</t>
  </si>
  <si>
    <t>Factura 3-456-2 Datos 5</t>
  </si>
  <si>
    <t>Factura 3-456-2 Datos 6</t>
  </si>
  <si>
    <t>Factura 3-456-2 Datos 7</t>
  </si>
  <si>
    <t>Factura 3-456-2 Datos 8</t>
  </si>
  <si>
    <t>Factura 3-456-2 Datos 9</t>
  </si>
  <si>
    <t>Factura 3-456-2 Datos 10</t>
  </si>
  <si>
    <t>Factura 3-456-2 Datos 11</t>
  </si>
  <si>
    <t>Factura 3-456-2 Datos 12</t>
  </si>
  <si>
    <t>Z4567</t>
  </si>
  <si>
    <t>Z4568</t>
  </si>
  <si>
    <t>Z4569</t>
  </si>
  <si>
    <t>Z4570</t>
  </si>
  <si>
    <t>Z4571</t>
  </si>
  <si>
    <t>Z4572</t>
  </si>
  <si>
    <t>Z4573</t>
  </si>
  <si>
    <t>Z4574</t>
  </si>
  <si>
    <t>Z4575</t>
  </si>
  <si>
    <t>Z4576</t>
  </si>
  <si>
    <t>Z4577</t>
  </si>
  <si>
    <t>Z4578</t>
  </si>
  <si>
    <t>Total</t>
  </si>
  <si>
    <t>Con el rastreador de facturas puede conservar un historial de múltiples clientes y facturas (incluidos los datos de factura necesarios) en un solo archivo. También puede usar el Rastreador de facturas para analizar los datos previamente facturados. Por ejemplo, puede ver todas las facturas de un cliente, de un proyecto específico o todas las facturas del último mes, el último año, etc.</t>
  </si>
  <si>
    <t xml:space="preserve">Antes de empezar, eche un vistazo a los datos de ejemplo que se proporcionan. En la hoja de Factura, seleccione la celda a la derecha del n.º de factura (celda L8) y se mostrará una lista desplegable. Seleccione la flecha desplegable y seleccione una factura de ejemplo. Observe cómo toda la información de la factura cambia automáticamente para reflejar la factura seleccionada. Ahora eche un vistazo a las hojas de Detalles de facturas, Clientes y Facturas: principal. Cada una de estas hojas proporciona información a la factura y todos los cambios que realice se actualizarán automáticamente. </t>
  </si>
  <si>
    <t>¿Cómo puedo empezar?</t>
  </si>
  <si>
    <t>Modifique la hoja de Factura para que refleje la información de su empresa mediante los pasos siguientes:</t>
  </si>
  <si>
    <t>1.</t>
  </si>
  <si>
    <t>2.</t>
  </si>
  <si>
    <t>3.</t>
  </si>
  <si>
    <t>4.</t>
  </si>
  <si>
    <t>¿Cómo creo una factura?</t>
  </si>
  <si>
    <t>¿Cómo agrego más clientes, facturas e información de factura?</t>
  </si>
  <si>
    <t>Los datos de Clientes, Facturas y los Detalles de la factura se almacenan en las tablas de Excel. Cuando agrega una nueva fila a una tabla, se aplicará formato a la fila agregada automáticamente y los cálculos se copiarán. Para agregar nuevas filas de tabla, siga uno de estos procedimientos:</t>
  </si>
  <si>
    <t xml:space="preserve">● </t>
  </si>
  <si>
    <t>¿Cómo puedo analizar los detalles de mis facturas?</t>
  </si>
  <si>
    <t>Tal y como se indica en la sección Información sobre este rastreador de facturas, una vez que haya introducido varias facturas, puede ver una lista de todas las facturas para un cliente, proyecto o intervalo de fechas específicos y mucho más. Este tipo de análisis se lleva a cabo con un Filtro que le permite delimitar rápidamente una lista de datos. Para acceder a un Filtro en las tablas Clientes, Facturas o Detalles de factura, seleccione una flecha desplegable junto a un nombre de campo de una tabla. Se mostrará un panel de filtros que le ofrecerá una amplia variedad de opciones de filtrado. Aquí se muestran algunos ejemplos de filtros que le ayudarán a empezar:</t>
  </si>
  <si>
    <t>Sugerencias de filtro</t>
  </si>
  <si>
    <r>
      <rPr>
        <b/>
        <sz val="11"/>
        <color theme="2" tint="-0.749961851863155"/>
        <rFont val="Calibri"/>
        <family val="2"/>
        <scheme val="minor"/>
      </rPr>
      <t>Nota:</t>
    </r>
    <r>
      <rPr>
        <sz val="11"/>
        <color theme="2" tint="-0.749961851863155"/>
        <rFont val="Calibri"/>
        <family val="2"/>
        <scheme val="minor"/>
      </rPr>
      <t xml:space="preserve"> La hoja de Factura está protegida para ayudar a evitar cambios no intencionados, ya que, como se ha mencionado anteriormente, la mayoría de los datos en esta hoja se extraerán de todas las demás hojas del libro. </t>
    </r>
  </si>
  <si>
    <t xml:space="preserve">Personalice el encabezado de la factura escribiendo el nombre de su empresa, la dirección, la ciudad, el código postal, la dirección de correo electrónico, el sitio web, etc. En la parte inferior de la factura (fila 43), modifique las instrucciones de pago. </t>
  </si>
  <si>
    <t>Personalizar el tema de un documento.</t>
  </si>
  <si>
    <t>Cuando haya realizado los cambios que quiera, vuelva a la hoja de Factura y, en la pestaña Revisar, en el grupo Cambios, seleccione Proteger hoja y seleccione Aceptar. Cuando la hoja de Factura está protegida, la única celda que puede seleccionar es la celda con el menú desplegable N.º de factura.</t>
  </si>
  <si>
    <t xml:space="preserve">En la hoja Clientes, especifique la información del cliente, como el nombre de la empresa y la dirección. Tenga en cuenta que el N.º de la empresa es importante, ya que proporciona un identificador único para cada empresa que se usará en todo el Rastreador de facturas. Observe también que solo necesita agregar cada empresa una vez. Para las facturas posteriores de la misma empresa, puede omitir este paso. </t>
  </si>
  <si>
    <r>
      <rPr>
        <b/>
        <sz val="11"/>
        <color theme="2" tint="-0.749961851863155"/>
        <rFont val="Calibri"/>
        <family val="2"/>
        <scheme val="minor"/>
      </rPr>
      <t>Nota:</t>
    </r>
    <r>
      <rPr>
        <sz val="11"/>
        <color theme="2" tint="-0.749961851863155"/>
        <rFont val="Calibri"/>
        <family val="2"/>
        <scheme val="minor"/>
      </rPr>
      <t xml:space="preserve">  Si asigna el mismo número a más de una empresa o introduce el mismo nombre de empresa más de una vez, las entradas se volverán de color rojo para alertar del duplicado. </t>
    </r>
  </si>
  <si>
    <t>En la hoja Facturas: principal, escriba la información principal de la factura, como el número de factura, la fecha de la factura y la descripción del proyecto. Al igual que el n.º de la empresa, el número de factura es importante, ya que proporciona un identificador único para cada factura que se usará en todo el Rastreador de facturas. Otro elemento importante es la empresa. Cuando selecciona una empresa de la lista desplegable, se asocia la factura a esa empresa. Luego, al seleccionar un número de factura en la hoja de Factura, la información de dicha empresa, como el nombre de la empresa y la dirección, se rellenará automáticamente en la factura.</t>
  </si>
  <si>
    <r>
      <rPr>
        <b/>
        <sz val="11"/>
        <color theme="2" tint="-0.749961851863155"/>
        <rFont val="Calibri"/>
        <family val="2"/>
        <scheme val="minor"/>
      </rPr>
      <t>Nota:</t>
    </r>
    <r>
      <rPr>
        <sz val="11"/>
        <color theme="2" tint="-0.749961851863155"/>
        <rFont val="Calibri"/>
        <family val="2"/>
        <scheme val="minor"/>
      </rPr>
      <t xml:space="preserve">  Si asigna el mismo número a más de una factura, las entradas se volverán de color rojo para alertar del duplicado. </t>
    </r>
  </si>
  <si>
    <t>En la hoja de Detalles de factura, escriba los detalles de la factura, como la descripción del artículo, el número de artículo, la cantidad y el precio unitario. En la lista desplegable N.º de factura, se proporciona una lista de las facturas que ha introducido en la hoja de Facturas: principal para facilitar la introducción de datos. De forma similar al N.º de empresa en el paso anterior, el N.º de factura asocia esa información a una factura específica. Al seleccionar un número de factura en la hoja de Factura de la lista desplegable N.º de factura, se mostrarán los elementos de detalles de factura correspondientes para dicha factura.</t>
  </si>
  <si>
    <r>
      <rPr>
        <b/>
        <sz val="11"/>
        <color theme="2" tint="-0.749961851863155"/>
        <rFont val="Calibri"/>
        <family val="2"/>
        <scheme val="minor"/>
      </rPr>
      <t>Nota:</t>
    </r>
    <r>
      <rPr>
        <sz val="11"/>
        <color theme="2" tint="-0.749961851863155"/>
        <rFont val="Calibri"/>
        <family val="2"/>
        <scheme val="minor"/>
      </rPr>
      <t xml:space="preserve"> Hay un límite de 25 elementos de detalles por factura. Si agrega más de 25 elementos, todas las entradas correspondientes se volverán de color rojo para alertarle de esta limitación. Si tiene más de 25 elementos de factura, tendrá que crear una segunda factura. </t>
    </r>
  </si>
  <si>
    <t>Si la tabla no tiene una fila de total, comience a escribir debajo de la tabla y se expandirá automáticamente cuando presione la tecla Entrar o Tab.</t>
  </si>
  <si>
    <t>Coloque el puntero de celda en la última celda por encima de la fila de Total, como en la celda de Notas de la última factura en la tabla Facturas, y presione la tecla Tab.</t>
  </si>
  <si>
    <t>En la esquina inferior derecha de la tabla, coloque el ratón en el controlador de tamaño de tabla y arrastre hacia abajo para aumentar el número de filas de tabla disponibles.</t>
  </si>
  <si>
    <r>
      <rPr>
        <b/>
        <sz val="11"/>
        <color theme="4"/>
        <rFont val="Calibri"/>
        <family val="2"/>
        <scheme val="minor"/>
      </rPr>
      <t>Para ver la cantidad total que ha facturado a un cliente específico:</t>
    </r>
    <r>
      <rPr>
        <b/>
        <sz val="11"/>
        <color theme="2" tint="-0.749961851863155"/>
        <rFont val="Calibri"/>
        <family val="2"/>
        <scheme val="minor"/>
      </rPr>
      <t xml:space="preserve"> </t>
    </r>
    <r>
      <rPr>
        <sz val="11"/>
        <color theme="2" tint="-0.749961851863155"/>
        <rFont val="Calibri"/>
        <family val="2"/>
        <scheme val="minor"/>
      </rPr>
      <t xml:space="preserve">En la hoja Facturas: principal, a la derecha del campo N.º de empresa, seleccione la flecha desplegable. En el panel de filtros, haga clic en Seleccionar todo para anular la selección de todas las empresas, seleccione la empresa que quiera y seleccione Aceptar. </t>
    </r>
  </si>
  <si>
    <r>
      <rPr>
        <b/>
        <sz val="11"/>
        <color theme="4"/>
        <rFont val="Calibri"/>
        <family val="2"/>
        <scheme val="minor"/>
      </rPr>
      <t>Para ver todas las facturas de un cliente específico y proyectos específicos:</t>
    </r>
    <r>
      <rPr>
        <sz val="11"/>
        <color theme="2" tint="-0.749961851863155"/>
        <rFont val="Calibri"/>
        <family val="2"/>
        <scheme val="minor"/>
      </rPr>
      <t xml:space="preserve"> Para empezar, filtre por el cliente que quiera mediante los pasos que se proporcionan en el ejemplo anterior. Después, a la derecha del N.º de proyecto, seleccione la flecha desplegable. En el panel de filtros, seleccione el proyecto o proyectos que quiera y seleccione Aceptar. </t>
    </r>
  </si>
  <si>
    <r>
      <rPr>
        <b/>
        <sz val="11"/>
        <color theme="4"/>
        <rFont val="Calibri"/>
        <family val="2"/>
        <scheme val="minor"/>
      </rPr>
      <t>Para ver todas las facturas del mes anterior:</t>
    </r>
    <r>
      <rPr>
        <b/>
        <sz val="11"/>
        <color rgb="FF3DAFA7"/>
        <rFont val="Calibri"/>
        <family val="2"/>
        <scheme val="minor"/>
      </rPr>
      <t xml:space="preserve"> </t>
    </r>
    <r>
      <rPr>
        <sz val="11"/>
        <color theme="2" tint="-0.749961851863155"/>
        <rFont val="Calibri"/>
        <family val="2"/>
        <scheme val="minor"/>
      </rPr>
      <t>En la hoja Facturas: principal, a la derecha del campo Fecha de factura, seleccione la flecha desplegable, seleccione Filtros de fecha y seleccione Mes pasado.</t>
    </r>
  </si>
  <si>
    <r>
      <rPr>
        <b/>
        <sz val="11"/>
        <color theme="4"/>
        <rFont val="Calibri"/>
        <family val="2"/>
        <scheme val="minor"/>
      </rPr>
      <t>Para ver todos los clientes que tengan el mismo código de área:</t>
    </r>
    <r>
      <rPr>
        <sz val="11"/>
        <color rgb="FF3DAFA7"/>
        <rFont val="Calibri"/>
        <family val="2"/>
        <scheme val="minor"/>
      </rPr>
      <t xml:space="preserve"> </t>
    </r>
    <r>
      <rPr>
        <sz val="11"/>
        <color theme="2" tint="-0.749961851863155"/>
        <rFont val="Calibri"/>
        <family val="2"/>
        <scheme val="minor"/>
      </rPr>
      <t xml:space="preserve">En la hoja Clientes, a la derecha del campo Teléfono, seleccione la flecha desplegable. En el panel de filtros, haga clic en el cuadro de texto Buscar, escriba el código de área y seleccione </t>
    </r>
    <r>
      <rPr>
        <b/>
        <sz val="11"/>
        <color theme="2" tint="-0.749961851863155"/>
        <rFont val="Calibri"/>
        <family val="2"/>
        <scheme val="minor"/>
      </rPr>
      <t>Aceptar.</t>
    </r>
    <r>
      <rPr>
        <sz val="11"/>
        <color theme="2" tint="-0.749961851863155"/>
        <rFont val="Calibri"/>
        <family val="2"/>
        <scheme val="minor"/>
      </rPr>
      <t xml:space="preserve"> </t>
    </r>
  </si>
  <si>
    <t>Si una tabla tiene una fila de total, como Clientes y Facturas, los totales calculados reflejarán solo la lista filtrada.</t>
  </si>
  <si>
    <t>Use varios filtros en un solo campo o en varios campos para ajustar los resultados.</t>
  </si>
  <si>
    <r>
      <t xml:space="preserve">Para quitar un único filtro, seleccione la flecha desplegable de una columna que haya filtrado previamente y seleccione </t>
    </r>
    <r>
      <rPr>
        <b/>
        <sz val="11"/>
        <color theme="2" tint="-0.749961851863155"/>
        <rFont val="Calibri"/>
        <family val="2"/>
        <scheme val="minor"/>
      </rPr>
      <t>Borrar filtro de &lt;</t>
    </r>
    <r>
      <rPr>
        <b/>
        <i/>
        <sz val="11"/>
        <color theme="2" tint="-0.749961851863155"/>
        <rFont val="Calibri"/>
        <family val="2"/>
        <scheme val="minor"/>
      </rPr>
      <t>nombre del campo&gt;</t>
    </r>
    <r>
      <rPr>
        <sz val="11"/>
        <color theme="2" tint="-0.749961851863155"/>
        <rFont val="Calibri"/>
        <family val="2"/>
        <scheme val="minor"/>
      </rPr>
      <t>.</t>
    </r>
  </si>
  <si>
    <t>Nombre De La Empresa</t>
  </si>
  <si>
    <t>Acerca de este rastreador de fa</t>
  </si>
  <si>
    <r>
      <t xml:space="preserve">Vaya a la hoja de </t>
    </r>
    <r>
      <rPr>
        <b/>
        <sz val="11"/>
        <color theme="2" tint="-0.749961851863155"/>
        <rFont val="Calibri"/>
        <family val="2"/>
        <scheme val="minor"/>
      </rPr>
      <t xml:space="preserve">Factura </t>
    </r>
    <r>
      <rPr>
        <sz val="11"/>
        <color theme="2" tint="-0.749961851863155"/>
        <rFont val="Calibri"/>
        <family val="2"/>
        <scheme val="minor"/>
      </rPr>
      <t xml:space="preserve">y, en la pestaña </t>
    </r>
    <r>
      <rPr>
        <b/>
        <sz val="11"/>
        <color theme="2" tint="-0.749961851863155"/>
        <rFont val="Calibri"/>
        <family val="2"/>
        <scheme val="minor"/>
      </rPr>
      <t>Revisar</t>
    </r>
    <r>
      <rPr>
        <sz val="11"/>
        <color theme="2" tint="-0.749961851863155"/>
        <rFont val="Calibri"/>
        <family val="2"/>
        <scheme val="minor"/>
      </rPr>
      <t xml:space="preserve">, en el grupo </t>
    </r>
    <r>
      <rPr>
        <b/>
        <sz val="11"/>
        <color theme="2" tint="-0.749961851863155"/>
        <rFont val="Calibri"/>
        <family val="2"/>
        <scheme val="minor"/>
      </rPr>
      <t>Proteger</t>
    </r>
    <r>
      <rPr>
        <sz val="11"/>
        <color theme="2" tint="-0.749961851863155"/>
        <rFont val="Calibri"/>
        <family val="2"/>
        <scheme val="minor"/>
      </rPr>
      <t xml:space="preserve">, seleccione </t>
    </r>
    <r>
      <rPr>
        <b/>
        <sz val="11"/>
        <color theme="2" tint="-0.749961851863155"/>
        <rFont val="Calibri"/>
        <family val="2"/>
        <scheme val="minor"/>
      </rPr>
      <t>Desproteger hoja</t>
    </r>
    <r>
      <rPr>
        <sz val="11"/>
        <color theme="2" tint="-0.749961851863155"/>
        <rFont val="Calibri"/>
        <family val="2"/>
        <scheme val="minor"/>
      </rPr>
      <t xml:space="preserve">. </t>
    </r>
  </si>
  <si>
    <r>
      <rPr>
        <i/>
        <sz val="11"/>
        <color theme="2" tint="-0.749961851863155"/>
        <rFont val="Calibri"/>
        <family val="2"/>
        <scheme val="minor"/>
      </rPr>
      <t>(Opcional)</t>
    </r>
    <r>
      <rPr>
        <sz val="11"/>
        <color theme="2" tint="-0.749961851863155"/>
        <rFont val="Calibri"/>
        <family val="2"/>
        <scheme val="minor"/>
      </rPr>
      <t xml:space="preserve"> Modificar los colores de todo el libro: En la pestaña </t>
    </r>
    <r>
      <rPr>
        <b/>
        <sz val="11"/>
        <color theme="2" tint="-0.749961851863155"/>
        <rFont val="Calibri"/>
        <family val="2"/>
        <scheme val="minor"/>
      </rPr>
      <t>Disposicieón de página</t>
    </r>
    <r>
      <rPr>
        <sz val="11"/>
        <color theme="2" tint="-0.749961851863155"/>
        <rFont val="Calibri"/>
        <family val="2"/>
        <scheme val="minor"/>
      </rPr>
      <t xml:space="preserve">, en el grupo </t>
    </r>
    <r>
      <rPr>
        <b/>
        <sz val="11"/>
        <color theme="2" tint="-0.749961851863155"/>
        <rFont val="Calibri"/>
        <family val="2"/>
        <scheme val="minor"/>
      </rPr>
      <t>Temas</t>
    </r>
    <r>
      <rPr>
        <sz val="11"/>
        <color theme="2" tint="-0.749961851863155"/>
        <rFont val="Calibri"/>
        <family val="2"/>
        <scheme val="minor"/>
      </rPr>
      <t xml:space="preserve">, seleccione </t>
    </r>
    <r>
      <rPr>
        <b/>
        <sz val="11"/>
        <color theme="2" tint="-0.749961851863155"/>
        <rFont val="Calibri"/>
        <family val="2"/>
        <scheme val="minor"/>
      </rPr>
      <t>Colores</t>
    </r>
    <r>
      <rPr>
        <sz val="11"/>
        <color theme="2" tint="-0.749961851863155"/>
        <rFont val="Calibri"/>
        <family val="2"/>
        <scheme val="minor"/>
      </rPr>
      <t xml:space="preserve"> y elija otro conjunto de colores de tema en la galería de colores. </t>
    </r>
  </si>
  <si>
    <r>
      <rPr>
        <b/>
        <sz val="11"/>
        <color theme="2" tint="-0.749961851863155"/>
        <rFont val="Calibri"/>
        <family val="2"/>
        <scheme val="minor"/>
      </rPr>
      <t>Sugerencia:</t>
    </r>
    <r>
      <rPr>
        <sz val="11"/>
        <color theme="2" tint="-0.749961851863155"/>
        <rFont val="Calibri"/>
        <family val="2"/>
        <scheme val="minor"/>
      </rPr>
      <t xml:space="preserve"> Cree un conjunto de colores de tema personalizado acorde con la marca de su empresa. Para hacerlo, en la pestaña </t>
    </r>
    <r>
      <rPr>
        <b/>
        <sz val="11"/>
        <color theme="2" tint="-0.749961851863155"/>
        <rFont val="Calibri"/>
        <family val="2"/>
        <scheme val="minor"/>
      </rPr>
      <t>Disposicieón de página</t>
    </r>
    <r>
      <rPr>
        <sz val="11"/>
        <color theme="2" tint="-0.749961851863155"/>
        <rFont val="Calibri"/>
        <family val="2"/>
        <scheme val="minor"/>
      </rPr>
      <t>, en</t>
    </r>
    <r>
      <rPr>
        <b/>
        <sz val="11"/>
        <color theme="2" tint="-0.749961851863155"/>
        <rFont val="Calibri"/>
        <family val="2"/>
        <scheme val="minor"/>
      </rPr>
      <t xml:space="preserve"> </t>
    </r>
    <r>
      <rPr>
        <sz val="11"/>
        <color theme="2" tint="-0.749961851863155"/>
        <rFont val="Calibri"/>
        <family val="2"/>
        <scheme val="minor"/>
      </rPr>
      <t>el grupo</t>
    </r>
    <r>
      <rPr>
        <b/>
        <sz val="11"/>
        <color theme="2" tint="-0.749961851863155"/>
        <rFont val="Calibri"/>
        <family val="2"/>
        <scheme val="minor"/>
      </rPr>
      <t xml:space="preserve"> Temas</t>
    </r>
    <r>
      <rPr>
        <sz val="11"/>
        <color theme="2" tint="-0.749961851863155"/>
        <rFont val="Calibri"/>
        <family val="2"/>
        <scheme val="minor"/>
      </rPr>
      <t>,</t>
    </r>
    <r>
      <rPr>
        <b/>
        <sz val="11"/>
        <color theme="2" tint="-0.749961851863155"/>
        <rFont val="Calibri"/>
        <family val="2"/>
        <scheme val="minor"/>
      </rPr>
      <t xml:space="preserve"> </t>
    </r>
    <r>
      <rPr>
        <sz val="11"/>
        <color theme="2" tint="-0.749961851863155"/>
        <rFont val="Calibri"/>
        <family val="2"/>
        <scheme val="minor"/>
      </rPr>
      <t>seleccione</t>
    </r>
    <r>
      <rPr>
        <b/>
        <sz val="11"/>
        <color theme="2" tint="-0.749961851863155"/>
        <rFont val="Calibri"/>
        <family val="2"/>
        <scheme val="minor"/>
      </rPr>
      <t xml:space="preserve"> Colores</t>
    </r>
    <r>
      <rPr>
        <sz val="11"/>
        <color theme="2" tint="-0.749961851863155"/>
        <rFont val="Calibri"/>
        <family val="2"/>
        <scheme val="minor"/>
      </rPr>
      <t xml:space="preserve"> y elija  </t>
    </r>
    <r>
      <rPr>
        <b/>
        <sz val="11"/>
        <color theme="2" tint="-0.749961851863155"/>
        <rFont val="Calibri"/>
        <family val="2"/>
        <scheme val="minor"/>
      </rPr>
      <t>Personalizar colores</t>
    </r>
    <r>
      <rPr>
        <sz val="11"/>
        <color theme="2" tint="-0.749961851863155"/>
        <rFont val="Calibri"/>
        <family val="2"/>
        <scheme val="minor"/>
      </rPr>
      <t xml:space="preserve">. Para más información sobre cómo crear un conjunto de colores personalizado, vea el tema de ayuda siguiente: </t>
    </r>
  </si>
  <si>
    <r>
      <t xml:space="preserve">En la pestaña </t>
    </r>
    <r>
      <rPr>
        <b/>
        <sz val="11"/>
        <color theme="2" tint="-0.749961851863155"/>
        <rFont val="Calibri"/>
        <family val="2"/>
        <scheme val="minor"/>
      </rPr>
      <t>Inicio</t>
    </r>
    <r>
      <rPr>
        <sz val="11"/>
        <color theme="2" tint="-0.749961851863155"/>
        <rFont val="Calibri"/>
        <family val="2"/>
        <scheme val="minor"/>
      </rPr>
      <t xml:space="preserve">, en el grupo </t>
    </r>
    <r>
      <rPr>
        <b/>
        <sz val="11"/>
        <color theme="2" tint="-0.749961851863155"/>
        <rFont val="Calibri"/>
        <family val="2"/>
        <scheme val="minor"/>
      </rPr>
      <t>Celdas</t>
    </r>
    <r>
      <rPr>
        <sz val="11"/>
        <color theme="2" tint="-0.749961851863155"/>
        <rFont val="Calibri"/>
        <family val="2"/>
        <scheme val="minor"/>
      </rPr>
      <t xml:space="preserve">, seleccione </t>
    </r>
    <r>
      <rPr>
        <b/>
        <sz val="11"/>
        <color theme="2" tint="-0.749961851863155"/>
        <rFont val="Calibri"/>
        <family val="2"/>
        <scheme val="minor"/>
      </rPr>
      <t>Insertar</t>
    </r>
    <r>
      <rPr>
        <sz val="11"/>
        <color theme="2" tint="-0.749961851863155"/>
        <rFont val="Calibri"/>
        <family val="2"/>
        <scheme val="minor"/>
      </rPr>
      <t xml:space="preserve"> y haga clic en </t>
    </r>
    <r>
      <rPr>
        <b/>
        <sz val="11"/>
        <color theme="2" tint="-0.749961851863155"/>
        <rFont val="Calibri"/>
        <family val="2"/>
        <scheme val="minor"/>
      </rPr>
      <t>Filas de tabla encima</t>
    </r>
    <r>
      <rPr>
        <sz val="11"/>
        <color theme="2" tint="-0.749961851863155"/>
        <rFont val="Calibri"/>
        <family val="2"/>
        <scheme val="minor"/>
      </rPr>
      <t xml:space="preserve"> o </t>
    </r>
    <r>
      <rPr>
        <b/>
        <sz val="11"/>
        <color theme="2" tint="-0.749961851863155"/>
        <rFont val="Calibri"/>
        <family val="2"/>
        <scheme val="minor"/>
      </rPr>
      <t>Filas de tabla debajo</t>
    </r>
    <r>
      <rPr>
        <sz val="11"/>
        <color theme="2" tint="-0.749961851863155"/>
        <rFont val="Calibri"/>
        <family val="2"/>
        <scheme val="minor"/>
      </rPr>
      <t xml:space="preserve">. </t>
    </r>
  </si>
  <si>
    <r>
      <rPr>
        <b/>
        <sz val="11"/>
        <color theme="2" tint="-0.749961851863155"/>
        <rFont val="Calibri"/>
        <family val="2"/>
        <scheme val="minor"/>
      </rPr>
      <t>Sugerencia:</t>
    </r>
    <r>
      <rPr>
        <sz val="11"/>
        <color theme="2" tint="-0.749961851863155"/>
        <rFont val="Calibri"/>
        <family val="2"/>
        <scheme val="minor"/>
      </rPr>
      <t xml:space="preserve"> En el panel de</t>
    </r>
    <r>
      <rPr>
        <b/>
        <sz val="11"/>
        <color theme="2" tint="-0.749961851863155"/>
        <rFont val="Calibri"/>
        <family val="2"/>
        <scheme val="minor"/>
      </rPr>
      <t xml:space="preserve"> Filtro</t>
    </r>
    <r>
      <rPr>
        <sz val="11"/>
        <color theme="2" tint="-0.749961851863155"/>
        <rFont val="Calibri"/>
        <family val="2"/>
        <scheme val="minor"/>
      </rPr>
      <t xml:space="preserve"> también puede escribir el nombre del cliente en el cuadro de texto </t>
    </r>
    <r>
      <rPr>
        <b/>
        <sz val="11"/>
        <color theme="2" tint="-0.749961851863155"/>
        <rFont val="Calibri"/>
        <family val="2"/>
        <scheme val="minor"/>
      </rPr>
      <t>Buscar</t>
    </r>
    <r>
      <rPr>
        <sz val="11"/>
        <color theme="2" tint="-0.749961851863155"/>
        <rFont val="Calibri"/>
        <family val="2"/>
        <scheme val="minor"/>
      </rPr>
      <t xml:space="preserve"> para buscar rápidamente en la lista disponible.</t>
    </r>
  </si>
  <si>
    <r>
      <t xml:space="preserve">Para eliminar varios filtros a la vez, coloque el puntero de celda en la tabla y, en la pestaña </t>
    </r>
    <r>
      <rPr>
        <b/>
        <sz val="11"/>
        <color theme="2" tint="-0.749961851863155"/>
        <rFont val="Calibri"/>
        <family val="2"/>
        <scheme val="minor"/>
      </rPr>
      <t>Inicio</t>
    </r>
    <r>
      <rPr>
        <sz val="11"/>
        <color theme="2" tint="-0.749961851863155"/>
        <rFont val="Calibri"/>
        <family val="2"/>
        <scheme val="minor"/>
      </rPr>
      <t xml:space="preserve">, en el grupo </t>
    </r>
    <r>
      <rPr>
        <b/>
        <sz val="11"/>
        <color theme="2" tint="-0.749961851863155"/>
        <rFont val="Calibri"/>
        <family val="2"/>
        <scheme val="minor"/>
      </rPr>
      <t>Edición</t>
    </r>
    <r>
      <rPr>
        <sz val="11"/>
        <color theme="2" tint="-0.749961851863155"/>
        <rFont val="Calibri"/>
        <family val="2"/>
        <scheme val="minor"/>
      </rPr>
      <t xml:space="preserve">, seleccione </t>
    </r>
    <r>
      <rPr>
        <b/>
        <sz val="11"/>
        <color theme="2" tint="-0.749961851863155"/>
        <rFont val="Calibri"/>
        <family val="2"/>
        <scheme val="minor"/>
      </rPr>
      <t>Ordenar y filtrar</t>
    </r>
    <r>
      <rPr>
        <sz val="11"/>
        <color theme="2" tint="-0.749961851863155"/>
        <rFont val="Calibri"/>
        <family val="2"/>
        <scheme val="minor"/>
      </rPr>
      <t xml:space="preserve"> seleccione </t>
    </r>
    <r>
      <rPr>
        <b/>
        <sz val="11"/>
        <color theme="2" tint="-0.749961851863155"/>
        <rFont val="Calibri"/>
        <family val="2"/>
        <scheme val="minor"/>
      </rPr>
      <t xml:space="preserve">Borrar. </t>
    </r>
  </si>
  <si>
    <r>
      <rPr>
        <b/>
        <sz val="11"/>
        <color theme="2" tint="-0.749961851863155"/>
        <rFont val="Calibri"/>
        <family val="2"/>
        <scheme val="minor"/>
      </rPr>
      <t>Importante.</t>
    </r>
    <r>
      <rPr>
        <sz val="11"/>
        <color theme="2" tint="-0.749961851863155"/>
        <rFont val="Calibri"/>
        <family val="2"/>
        <scheme val="minor"/>
      </rPr>
      <t xml:space="preserve"> No modifique la información de facturación o de la factura. Todas estas celdas tienen fórmulas que actualizan automáticamente la factura, tal y como se indica en la sección</t>
    </r>
    <r>
      <rPr>
        <i/>
        <sz val="11"/>
        <color theme="2" tint="-0.749961851863155"/>
        <rFont val="Calibri"/>
        <family val="2"/>
        <scheme val="minor"/>
      </rPr>
      <t xml:space="preserve"> Acerca de este rastreador de fa</t>
    </r>
    <r>
      <rPr>
        <sz val="11"/>
        <color theme="2" tint="-0.749961851863155"/>
        <rFont val="Calibri"/>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</si>
</sst>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 &quot;€&quot;;\-#,##0.00\ &quot;€&quot;"/>
    <numFmt numFmtId="165" formatCode="_-* #,##0.00\ &quot;€&quot;_-;\-* #,##0.00\ &quot;€&quot;_-;_-* &quot;-&quot;??\ &quot;€&quot;_-;_-@_-"/>
    <numFmt numFmtId="166" formatCode="[&lt;=9999999]###\-####;\(###\)\ ###\-####"/>
    <numFmt numFmtId="167" formatCode="#,##0.00\ &quot;€&quot;"/>
    <numFmt numFmtId="168" formatCode="#,##0_ ;\-#,##0\ "/>
  </numFmts>
  <fonts count="32" x14ac:knownFonts="1">
    <font>
      <sz val="11"/>
      <color theme="2" tint="-0.749961851863155"/>
      <name val="Calibri"/>
      <family val="2"/>
      <scheme val="minor"/>
    </font>
    <font>
      <b/>
      <sz val="10"/>
      <name val="Arial"/>
      <family val="2"/>
    </font>
    <font>
      <sz val="10"/>
      <name val="Calibri"/>
      <family val="2"/>
      <scheme val="minor"/>
    </font>
    <font>
      <sz val="11"/>
      <name val="Calibri"/>
      <family val="1"/>
      <scheme val="minor"/>
    </font>
    <font>
      <sz val="9"/>
      <name val="Calibri"/>
      <family val="2"/>
      <scheme val="minor"/>
    </font>
    <font>
      <sz val="10"/>
      <color theme="2" tint="-0.249977111117893"/>
      <name val="Calibri"/>
      <family val="2"/>
      <scheme val="minor"/>
    </font>
    <font>
      <sz val="14"/>
      <color theme="4" tint="-0.24994659260841701"/>
      <name val="Calibri"/>
      <family val="2"/>
    </font>
    <font>
      <sz val="10"/>
      <color theme="4" tint="0.59999389629810485"/>
      <name val="Calibri"/>
      <family val="2"/>
    </font>
    <font>
      <sz val="10"/>
      <color theme="2" tint="-0.749961851863155"/>
      <name val="Calibri"/>
      <family val="2"/>
      <scheme val="minor"/>
    </font>
    <font>
      <sz val="12"/>
      <color theme="4" tint="-0.499984740745262"/>
      <name val="Calibri"/>
      <family val="2"/>
      <scheme val="minor"/>
    </font>
    <font>
      <sz val="16"/>
      <color theme="4" tint="-0.24994659260841701"/>
      <name val="Calibri"/>
      <family val="2"/>
      <scheme val="minor"/>
    </font>
    <font>
      <sz val="14"/>
      <color theme="4" tint="-0.24994659260841701"/>
      <name val="Calibri"/>
      <family val="2"/>
      <scheme val="minor"/>
    </font>
    <font>
      <b/>
      <sz val="25"/>
      <color theme="0"/>
      <name val="Arial"/>
      <family val="2"/>
      <scheme val="major"/>
    </font>
    <font>
      <sz val="11"/>
      <color theme="2" tint="-0.89996032593768116"/>
      <name val="Calibri"/>
      <family val="2"/>
      <scheme val="minor"/>
    </font>
    <font>
      <b/>
      <sz val="11"/>
      <color theme="1"/>
      <name val="Calibri"/>
      <family val="2"/>
      <scheme val="minor"/>
    </font>
    <font>
      <sz val="11"/>
      <color theme="5" tint="-0.24994659260841701"/>
      <name val="Calibri"/>
      <family val="2"/>
      <scheme val="minor"/>
    </font>
    <font>
      <sz val="14"/>
      <color theme="4" tint="-0.24994659260841701"/>
      <name val="Arial"/>
      <family val="2"/>
      <scheme val="major"/>
    </font>
    <font>
      <sz val="12"/>
      <color theme="4" tint="-0.499984740745262"/>
      <name val="Arial"/>
      <family val="2"/>
      <scheme val="major"/>
    </font>
    <font>
      <sz val="11"/>
      <color theme="4" tint="-0.24994659260841701"/>
      <name val="Calibri"/>
      <family val="2"/>
      <scheme val="minor"/>
    </font>
    <font>
      <sz val="11"/>
      <color theme="1" tint="0.14993743705557422"/>
      <name val="Calibri"/>
      <family val="2"/>
      <scheme val="minor"/>
    </font>
    <font>
      <sz val="11"/>
      <color theme="2" tint="-0.89989928891872917"/>
      <name val="Calibri"/>
      <family val="2"/>
      <scheme val="minor"/>
    </font>
    <font>
      <sz val="11"/>
      <color theme="4" tint="-0.24994659260841701"/>
      <name val="Arial"/>
      <family val="2"/>
      <scheme val="major"/>
    </font>
    <font>
      <sz val="11"/>
      <color theme="2" tint="-0.749992370372631"/>
      <name val="Calibri"/>
      <family val="2"/>
      <scheme val="minor"/>
    </font>
    <font>
      <sz val="11"/>
      <color theme="4" tint="-0.499984740745262"/>
      <name val="Arial"/>
      <family val="2"/>
      <scheme val="major"/>
    </font>
    <font>
      <sz val="11"/>
      <color theme="4" tint="-0.499984740745262"/>
      <name val="Calibri"/>
      <family val="2"/>
      <scheme val="minor"/>
    </font>
    <font>
      <b/>
      <sz val="11"/>
      <color theme="2" tint="-0.749961851863155"/>
      <name val="Calibri"/>
      <family val="2"/>
      <scheme val="minor"/>
    </font>
    <font>
      <i/>
      <sz val="11"/>
      <color theme="2" tint="-0.749961851863155"/>
      <name val="Calibri"/>
      <family val="2"/>
      <scheme val="minor"/>
    </font>
    <font>
      <b/>
      <sz val="11"/>
      <color rgb="FF3DAFA7"/>
      <name val="Calibri"/>
      <family val="2"/>
      <scheme val="minor"/>
    </font>
    <font>
      <sz val="11"/>
      <color rgb="FF3DAFA7"/>
      <name val="Calibri"/>
      <family val="2"/>
      <scheme val="minor"/>
    </font>
    <font>
      <b/>
      <sz val="11"/>
      <color theme="4"/>
      <name val="Calibri"/>
      <family val="2"/>
      <scheme val="minor"/>
    </font>
    <font>
      <b/>
      <i/>
      <sz val="11"/>
      <color theme="2" tint="-0.749961851863155"/>
      <name val="Calibri"/>
      <family val="2"/>
      <scheme val="minor"/>
    </font>
    <font>
      <sz val="11"/>
      <name val="Calibri"/>
      <family val="2"/>
      <scheme val="minor"/>
    </font>
  </fonts>
  <fills count="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theme="4" tint="0.39997558519241921"/>
        <bgColor indexed="65"/>
      </patternFill>
    </fill>
    <fill>
      <patternFill patternType="solid">
        <fgColor theme="4" tint="-0.24994659260841701"/>
        <bgColor indexed="64"/>
      </patternFill>
    </fill>
    <fill>
      <patternFill patternType="solid">
        <fgColor theme="4" tint="0.79998168889431442"/>
        <bgColor indexed="65"/>
      </patternFill>
    </fill>
  </fills>
  <borders count="8">
    <border>
      <left/>
      <right/>
      <top/>
      <bottom/>
      <diagonal/>
    </border>
    <border>
      <left style="thin">
        <color theme="4"/>
      </left>
      <right style="thin">
        <color theme="4"/>
      </right>
      <top style="thin">
        <color theme="4"/>
      </top>
      <bottom style="thin">
        <color theme="4"/>
      </bottom>
      <diagonal/>
    </border>
    <border>
      <left style="thin">
        <color theme="2" tint="-0.499984740745262"/>
      </left>
      <right style="thin">
        <color theme="4"/>
      </right>
      <top style="thin">
        <color theme="4"/>
      </top>
      <bottom style="thin">
        <color theme="4"/>
      </bottom>
      <diagonal/>
    </border>
    <border>
      <left/>
      <right/>
      <top style="thick">
        <color theme="2"/>
      </top>
      <bottom/>
      <diagonal/>
    </border>
    <border>
      <left/>
      <right style="thin">
        <color theme="4"/>
      </right>
      <top/>
      <bottom/>
      <diagonal/>
    </border>
    <border>
      <left/>
      <right style="thin">
        <color theme="2" tint="-0.499984740745262"/>
      </right>
      <top/>
      <bottom/>
      <diagonal/>
    </border>
    <border>
      <left style="thin">
        <color theme="4"/>
      </left>
      <right style="thin">
        <color theme="4"/>
      </right>
      <top style="double">
        <color theme="4"/>
      </top>
      <bottom style="thin">
        <color theme="4"/>
      </bottom>
      <diagonal/>
    </border>
    <border>
      <left/>
      <right/>
      <top/>
      <bottom style="thick">
        <color theme="4" tint="0.59996337778862885"/>
      </bottom>
      <diagonal/>
    </border>
  </borders>
  <cellStyleXfs count="13">
    <xf numFmtId="0" fontId="0" fillId="0" borderId="0" applyNumberFormat="0" applyFill="0" applyBorder="0">
      <alignment vertical="top" wrapText="1"/>
    </xf>
    <xf numFmtId="0" fontId="19" fillId="0" borderId="0" applyNumberFormat="0" applyFill="0" applyBorder="0" applyAlignment="0" applyProtection="0"/>
    <xf numFmtId="0" fontId="17" fillId="0" borderId="0" applyNumberFormat="0" applyFill="0" applyBorder="0" applyProtection="0">
      <alignment vertical="center"/>
    </xf>
    <xf numFmtId="0" fontId="6" fillId="0" borderId="0" applyNumberFormat="0" applyFill="0" applyBorder="0" applyAlignment="0" applyProtection="0"/>
    <xf numFmtId="10" fontId="2" fillId="0" borderId="0" applyFont="0" applyFill="0" applyBorder="0" applyProtection="0">
      <alignment horizontal="left"/>
    </xf>
    <xf numFmtId="0" fontId="18" fillId="0" borderId="0" applyNumberFormat="0" applyFill="0" applyBorder="0" applyAlignment="0" applyProtection="0">
      <alignment vertical="top" wrapText="1"/>
    </xf>
    <xf numFmtId="0" fontId="12" fillId="5" borderId="7" applyNumberFormat="0" applyAlignment="0" applyProtection="0"/>
    <xf numFmtId="0" fontId="13" fillId="4" borderId="0" applyNumberFormat="0" applyBorder="0" applyAlignment="0" applyProtection="0"/>
    <xf numFmtId="0" fontId="16" fillId="0" borderId="0" applyFill="0" applyBorder="0" applyProtection="0">
      <alignment horizontal="left" vertical="center"/>
    </xf>
    <xf numFmtId="0" fontId="15" fillId="0" borderId="0" applyNumberFormat="0" applyFill="0" applyBorder="0" applyAlignment="0" applyProtection="0"/>
    <xf numFmtId="0" fontId="20" fillId="0" borderId="0" applyNumberFormat="0" applyFill="0" applyBorder="0" applyAlignment="0" applyProtection="0"/>
    <xf numFmtId="0" fontId="14" fillId="0" borderId="6" applyNumberFormat="0" applyAlignment="0" applyProtection="0"/>
    <xf numFmtId="0" fontId="21" fillId="0" borderId="0" applyFill="0" applyBorder="0" applyProtection="0">
      <alignment horizontal="left" vertical="center"/>
    </xf>
  </cellStyleXfs>
  <cellXfs count="72">
    <xf numFmtId="0" fontId="0" fillId="0" borderId="0" xfId="0">
      <alignment vertical="top" wrapText="1"/>
    </xf>
    <xf numFmtId="0" fontId="17" fillId="0" borderId="0" xfId="2">
      <alignment vertical="center"/>
    </xf>
    <xf numFmtId="0" fontId="2" fillId="0" borderId="0" xfId="0" applyFont="1">
      <alignment vertical="top" wrapText="1"/>
    </xf>
    <xf numFmtId="0" fontId="2" fillId="0" borderId="0" xfId="0" applyFont="1" applyAlignment="1">
      <alignment vertical="center"/>
    </xf>
    <xf numFmtId="0" fontId="5" fillId="0" borderId="0" xfId="0" applyFont="1" applyAlignment="1">
      <alignment horizontal="right" vertical="top"/>
    </xf>
    <xf numFmtId="0" fontId="0" fillId="0" borderId="0" xfId="0" applyAlignment="1">
      <alignment horizontal="left" vertical="center"/>
    </xf>
    <xf numFmtId="14" fontId="0" fillId="0" borderId="0" xfId="0" applyNumberFormat="1" applyAlignment="1">
      <alignment horizontal="center" vertical="center"/>
    </xf>
    <xf numFmtId="0" fontId="0" fillId="3" borderId="0" xfId="0" applyFill="1">
      <alignment vertical="top" wrapText="1"/>
    </xf>
    <xf numFmtId="0" fontId="7" fillId="3" borderId="0" xfId="0" applyFont="1" applyFill="1">
      <alignment vertical="top" wrapText="1"/>
    </xf>
    <xf numFmtId="0" fontId="2" fillId="0" borderId="0" xfId="0" applyFont="1" applyAlignment="1">
      <alignment horizontal="left" vertical="center"/>
    </xf>
    <xf numFmtId="0" fontId="2" fillId="0" borderId="0" xfId="0" applyFont="1" applyAlignment="1">
      <alignment horizontal="left" indent="7"/>
    </xf>
    <xf numFmtId="0" fontId="11" fillId="0" borderId="0" xfId="3" applyFont="1" applyAlignment="1">
      <alignment vertical="top"/>
    </xf>
    <xf numFmtId="0" fontId="8" fillId="0" borderId="0" xfId="0" applyFont="1">
      <alignment vertical="top" wrapText="1"/>
    </xf>
    <xf numFmtId="0" fontId="8" fillId="0" borderId="0" xfId="0" applyFont="1" applyAlignment="1">
      <alignment vertical="top"/>
    </xf>
    <xf numFmtId="0" fontId="2" fillId="0" borderId="0" xfId="0" applyFont="1" applyAlignment="1">
      <alignment wrapText="1"/>
    </xf>
    <xf numFmtId="0" fontId="4" fillId="0" borderId="0" xfId="0" applyFont="1" applyAlignment="1">
      <alignment wrapText="1"/>
    </xf>
    <xf numFmtId="0" fontId="12" fillId="5" borderId="7" xfId="6" applyAlignment="1">
      <alignment vertical="center"/>
    </xf>
    <xf numFmtId="0" fontId="12" fillId="5" borderId="7" xfId="6" applyAlignment="1">
      <alignment vertical="top" wrapText="1"/>
    </xf>
    <xf numFmtId="0" fontId="12" fillId="5" borderId="7" xfId="6" applyAlignment="1">
      <alignment horizontal="left" vertical="center" indent="2"/>
    </xf>
    <xf numFmtId="0" fontId="13" fillId="4" borderId="0" xfId="7" applyAlignment="1">
      <alignment vertical="top" wrapText="1"/>
    </xf>
    <xf numFmtId="0" fontId="3" fillId="0" borderId="0" xfId="0" applyFont="1" applyAlignment="1">
      <alignment vertical="center"/>
    </xf>
    <xf numFmtId="0" fontId="0" fillId="0" borderId="0" xfId="0" applyAlignment="1">
      <alignment vertical="center"/>
    </xf>
    <xf numFmtId="0" fontId="0" fillId="0" borderId="0" xfId="0" applyAlignment="1">
      <alignment vertical="top"/>
    </xf>
    <xf numFmtId="0" fontId="21" fillId="0" borderId="0" xfId="12">
      <alignment horizontal="left" vertical="center"/>
    </xf>
    <xf numFmtId="0" fontId="0" fillId="0" borderId="0" xfId="0" applyAlignment="1">
      <alignment horizontal="left" vertical="center" wrapText="1"/>
    </xf>
    <xf numFmtId="0" fontId="0" fillId="0" borderId="0" xfId="0" applyAlignment="1">
      <alignment vertical="center" wrapText="1"/>
    </xf>
    <xf numFmtId="10" fontId="0" fillId="0" borderId="0" xfId="4" applyFont="1" applyAlignment="1">
      <alignment vertical="center"/>
    </xf>
    <xf numFmtId="166" fontId="0" fillId="0" borderId="0" xfId="0" applyNumberFormat="1" applyAlignment="1">
      <alignment vertical="center"/>
    </xf>
    <xf numFmtId="49" fontId="0" fillId="0" borderId="0" xfId="0" applyNumberFormat="1" applyAlignment="1">
      <alignment vertical="center" wrapText="1"/>
    </xf>
    <xf numFmtId="0" fontId="16" fillId="0" borderId="0" xfId="8">
      <alignment horizontal="left" vertical="center"/>
    </xf>
    <xf numFmtId="49" fontId="0" fillId="0" borderId="0" xfId="0" applyNumberFormat="1" applyAlignment="1">
      <alignment vertical="center"/>
    </xf>
    <xf numFmtId="0" fontId="12" fillId="5" borderId="7" xfId="6" applyAlignment="1">
      <alignment vertical="top"/>
    </xf>
    <xf numFmtId="0" fontId="13" fillId="4" borderId="0" xfId="7" applyAlignment="1">
      <alignment vertical="top"/>
    </xf>
    <xf numFmtId="0" fontId="2" fillId="0" borderId="0" xfId="0" applyFont="1" applyAlignment="1"/>
    <xf numFmtId="0" fontId="2" fillId="0" borderId="0" xfId="0" applyFont="1" applyAlignment="1">
      <alignment vertical="top"/>
    </xf>
    <xf numFmtId="0" fontId="22" fillId="0" borderId="0" xfId="0" applyFont="1" applyAlignment="1" applyProtection="1">
      <alignment wrapText="1"/>
      <protection locked="0"/>
    </xf>
    <xf numFmtId="14" fontId="22" fillId="0" borderId="0" xfId="0" applyNumberFormat="1" applyFont="1" applyAlignment="1">
      <alignment horizontal="left" wrapText="1"/>
    </xf>
    <xf numFmtId="0" fontId="23" fillId="0" borderId="0" xfId="0" applyFont="1" applyAlignment="1">
      <alignment horizontal="left"/>
    </xf>
    <xf numFmtId="0" fontId="22" fillId="0" borderId="0" xfId="0" applyFont="1" applyAlignment="1">
      <alignment wrapText="1"/>
    </xf>
    <xf numFmtId="0" fontId="24" fillId="0" borderId="0" xfId="0" applyFont="1" applyAlignment="1">
      <alignment wrapText="1"/>
    </xf>
    <xf numFmtId="0" fontId="0" fillId="0" borderId="0" xfId="0" applyAlignment="1">
      <alignment horizontal="center" vertical="center"/>
    </xf>
    <xf numFmtId="0" fontId="0" fillId="0" borderId="0" xfId="0" quotePrefix="1">
      <alignment vertical="top" wrapText="1"/>
    </xf>
    <xf numFmtId="0" fontId="0" fillId="0" borderId="1" xfId="0" applyBorder="1" applyAlignment="1">
      <alignment horizontal="right" vertical="top" wrapText="1"/>
    </xf>
    <xf numFmtId="0" fontId="0" fillId="0" borderId="2" xfId="0" applyBorder="1" applyAlignment="1">
      <alignment horizontal="right" vertical="top" wrapText="1"/>
    </xf>
    <xf numFmtId="0" fontId="14" fillId="3" borderId="6" xfId="11" applyFill="1" applyAlignment="1">
      <alignment horizontal="right" vertical="center"/>
    </xf>
    <xf numFmtId="0" fontId="0" fillId="2" borderId="0" xfId="0" applyFill="1" applyAlignment="1">
      <alignment horizontal="left" vertical="center"/>
    </xf>
    <xf numFmtId="0" fontId="0" fillId="2" borderId="0" xfId="0" applyFill="1" applyAlignment="1">
      <alignment horizontal="right" vertical="center"/>
    </xf>
    <xf numFmtId="0" fontId="12" fillId="5" borderId="7" xfId="6" applyAlignment="1">
      <alignment horizontal="left" vertical="center"/>
    </xf>
    <xf numFmtId="0" fontId="22" fillId="0" borderId="0" xfId="0" applyFont="1" applyAlignment="1">
      <alignment vertical="center"/>
    </xf>
    <xf numFmtId="0" fontId="17" fillId="0" borderId="0" xfId="2" applyAlignment="1">
      <alignment horizontal="left" vertical="center"/>
    </xf>
    <xf numFmtId="0" fontId="9" fillId="0" borderId="0" xfId="0" applyFont="1" applyAlignment="1">
      <alignment horizontal="left" vertical="center"/>
    </xf>
    <xf numFmtId="10" fontId="0" fillId="0" borderId="1" xfId="0" applyNumberFormat="1" applyBorder="1">
      <alignment vertical="top" wrapText="1"/>
    </xf>
    <xf numFmtId="165" fontId="0" fillId="2" borderId="0" xfId="0" applyNumberFormat="1" applyFill="1" applyAlignment="1">
      <alignment horizontal="center" vertical="center"/>
    </xf>
    <xf numFmtId="165" fontId="0" fillId="0" borderId="0" xfId="0" applyNumberFormat="1" applyAlignment="1">
      <alignment horizontal="right" vertical="center"/>
    </xf>
    <xf numFmtId="165" fontId="0" fillId="0" borderId="1" xfId="0" applyNumberFormat="1" applyBorder="1">
      <alignment vertical="top" wrapText="1"/>
    </xf>
    <xf numFmtId="165" fontId="14" fillId="3" borderId="6" xfId="11" applyNumberFormat="1" applyFill="1" applyAlignment="1">
      <alignment horizontal="right" vertical="center"/>
    </xf>
    <xf numFmtId="0" fontId="31" fillId="0" borderId="0" xfId="0" applyFont="1" applyAlignment="1">
      <alignment vertical="center" wrapText="1"/>
    </xf>
    <xf numFmtId="0" fontId="31" fillId="0" borderId="0" xfId="0" applyFont="1" applyAlignment="1">
      <alignment vertical="center"/>
    </xf>
    <xf numFmtId="0" fontId="31" fillId="0" borderId="0" xfId="0" applyFont="1" applyAlignment="1">
      <alignment horizontal="left" vertical="center"/>
    </xf>
    <xf numFmtId="167" fontId="0" fillId="0" borderId="0" xfId="0" applyNumberFormat="1" applyAlignment="1">
      <alignment vertical="center" wrapText="1"/>
    </xf>
    <xf numFmtId="164" fontId="0" fillId="0" borderId="0" xfId="0" applyNumberFormat="1" applyAlignment="1">
      <alignment vertical="center" wrapText="1"/>
    </xf>
    <xf numFmtId="168" fontId="0" fillId="0" borderId="0" xfId="0" applyNumberFormat="1" applyAlignment="1">
      <alignment vertical="center" wrapText="1"/>
    </xf>
    <xf numFmtId="0" fontId="13" fillId="4" borderId="3" xfId="7" applyBorder="1" applyAlignment="1">
      <alignment horizontal="left" wrapText="1"/>
    </xf>
    <xf numFmtId="0" fontId="13" fillId="4" borderId="0" xfId="7" applyAlignment="1">
      <alignment horizontal="left" vertical="top" wrapText="1"/>
    </xf>
    <xf numFmtId="0" fontId="20" fillId="6" borderId="0" xfId="10" applyFill="1" applyAlignment="1">
      <alignment horizontal="left" vertical="top" wrapText="1" indent="1"/>
    </xf>
    <xf numFmtId="0" fontId="20" fillId="6" borderId="4" xfId="10" applyFill="1" applyBorder="1" applyAlignment="1">
      <alignment horizontal="left" vertical="top" wrapText="1" indent="1"/>
    </xf>
    <xf numFmtId="0" fontId="20" fillId="0" borderId="0" xfId="10" applyAlignment="1">
      <alignment horizontal="left" indent="1"/>
    </xf>
    <xf numFmtId="0" fontId="20" fillId="0" borderId="5" xfId="10" applyBorder="1" applyAlignment="1">
      <alignment horizontal="left" indent="1"/>
    </xf>
    <xf numFmtId="0" fontId="23" fillId="0" borderId="0" xfId="0" applyFont="1" applyAlignment="1">
      <alignment horizontal="left"/>
    </xf>
    <xf numFmtId="0" fontId="0" fillId="0" borderId="0" xfId="0">
      <alignment vertical="top" wrapText="1"/>
    </xf>
    <xf numFmtId="0" fontId="10" fillId="0" borderId="0" xfId="2" applyFont="1">
      <alignment vertical="center"/>
    </xf>
    <xf numFmtId="0" fontId="0" fillId="0" borderId="0" xfId="0" quotePrefix="1">
      <alignment vertical="top" wrapText="1"/>
    </xf>
  </cellXfs>
  <cellStyles count="13">
    <cellStyle name="60% - Accent1" xfId="7" builtinId="32" customBuiltin="1"/>
    <cellStyle name="Explanatory Text" xfId="10" builtinId="53" customBuiltin="1"/>
    <cellStyle name="Followed Hyperlink" xfId="5" builtinId="9" customBuiltin="1"/>
    <cellStyle name="Heading 1" xfId="2" builtinId="16" customBuiltin="1"/>
    <cellStyle name="Heading 2" xfId="3" builtinId="17" customBuiltin="1"/>
    <cellStyle name="Heading 3" xfId="8" builtinId="18" customBuiltin="1"/>
    <cellStyle name="Heading 4" xfId="12" builtinId="19" customBuiltin="1"/>
    <cellStyle name="Hyperlink" xfId="1" builtinId="8" customBuiltin="1"/>
    <cellStyle name="Normal" xfId="0" builtinId="0" customBuiltin="1"/>
    <cellStyle name="Percent" xfId="4" builtinId="5" customBuiltin="1"/>
    <cellStyle name="Title" xfId="6" builtinId="15" customBuiltin="1"/>
    <cellStyle name="Total" xfId="11" builtinId="25" customBuiltin="1"/>
    <cellStyle name="Warning Text" xfId="9" builtinId="11" customBuiltin="1"/>
  </cellStyles>
  <dxfs count="73">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general" vertical="center" textRotation="0" wrapText="1"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2" tint="-0.749992370372631"/>
        <name val="Calibri"/>
        <family val="2"/>
        <scheme val="minor"/>
      </font>
      <alignment horizontal="general" vertical="center" textRotation="0" wrapText="0" indent="0" justifyLastLine="0" shrinkToFit="0" readingOrder="0"/>
    </dxf>
    <dxf>
      <numFmt numFmtId="167" formatCode="#,##0.00\ &quot;€&quot;"/>
      <alignment horizontal="general" vertical="center" textRotation="0" indent="0" justifyLastLine="0" shrinkToFit="0" readingOrder="0"/>
    </dxf>
    <dxf>
      <numFmt numFmtId="167" formatCode="#,##0.00\ &quot;€&quot;"/>
      <alignment horizontal="general" vertical="center" textRotation="0" indent="0" justifyLastLine="0" shrinkToFit="0" readingOrder="0"/>
    </dxf>
    <dxf>
      <numFmt numFmtId="167" formatCode="#,##0.00\ &quot;€&quot;"/>
      <alignment horizontal="general" vertical="center" textRotation="0" indent="0" justifyLastLine="0" shrinkToFit="0" readingOrder="0"/>
    </dxf>
    <dxf>
      <numFmt numFmtId="168" formatCode="#,##0_ ;\-#,##0\ "/>
      <alignment horizontal="general"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font>
        <color rgb="FFFF0000"/>
      </font>
    </dxf>
    <dxf>
      <alignment horizontal="general" vertical="center" textRotation="0" wrapText="1" indent="0" justifyLastLine="0" shrinkToFit="0" readingOrder="0"/>
    </dxf>
    <dxf>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numFmt numFmtId="164" formatCode="#,##0.00\ &quot;€&quot;;\-#,##0.00\ &quot;€&quot;"/>
      <alignment horizontal="general" vertical="center" textRotation="0" wrapText="1" indent="0" justifyLastLine="0" shrinkToFit="0" readingOrder="0"/>
    </dxf>
    <dxf>
      <numFmt numFmtId="167" formatCode="#,##0.00\ &quot;€&quot;"/>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numFmt numFmtId="169" formatCode="dd/mm/yyyy"/>
      <alignment horizontal="center" vertical="center" textRotation="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numFmt numFmtId="30" formatCode="@"/>
      <alignment horizontal="general" vertical="center" textRotation="0" indent="0" justifyLastLine="0" shrinkToFit="0" readingOrder="0"/>
    </dxf>
    <dxf>
      <font>
        <strike val="0"/>
        <outline val="0"/>
        <shadow val="0"/>
        <u val="none"/>
        <vertAlign val="baseline"/>
        <sz val="11"/>
        <color theme="1" tint="4.9989318521683403E-2"/>
        <name val="Calibri"/>
        <scheme val="minor"/>
      </font>
    </dxf>
    <dxf>
      <font>
        <color rgb="FFFF0000"/>
      </font>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font>
        <color rgb="FFFF0000"/>
      </font>
    </dxf>
    <dxf>
      <font>
        <color rgb="FFFF0000"/>
      </font>
    </dxf>
    <dxf>
      <alignment horizontal="general" vertical="center" textRotation="0" wrapText="1" indent="0" justifyLastLine="0" shrinkToFit="0" readingOrder="0"/>
    </dxf>
    <dxf>
      <numFmt numFmtId="165" formatCode="_-* #,##0.00\ &quot;€&quot;_-;\-* #,##0.00\ &quot;€&quot;_-;_-* &quot;-&quot;??\ &quot;€&quot;_-;_-@_-"/>
      <fill>
        <patternFill patternType="none">
          <fgColor indexed="64"/>
          <bgColor auto="1"/>
        </patternFill>
      </fill>
    </dxf>
    <dxf>
      <fill>
        <patternFill patternType="solid">
          <fgColor indexed="64"/>
          <bgColor theme="0"/>
        </patternFill>
      </fill>
      <alignment horizontal="general" vertical="center" textRotation="0" wrapText="1" indent="0" justifyLastLine="0" shrinkToFit="0" readingOrder="0"/>
    </dxf>
    <dxf>
      <numFmt numFmtId="165" formatCode="_-* #,##0.00\ &quot;€&quot;_-;\-* #,##0.00\ &quot;€&quot;_-;_-* &quot;-&quot;??\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165" formatCode="_-* #,##0.00\ &quot;€&quot;_-;\-* #,##0.00\ &quot;€&quot;_-;_-* &quot;-&quot;??\ &quot;€&quot;_-;_-@_-"/>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fill>
        <patternFill patternType="solid">
          <fgColor indexed="64"/>
          <bgColor theme="0"/>
        </patternFill>
      </fill>
      <alignment horizontal="general" vertical="center" textRotation="0" wrapText="1" indent="0" justifyLastLine="0" shrinkToFit="0" readingOrder="0"/>
    </dxf>
    <dxf>
      <numFmt numFmtId="0" formatCode="General"/>
      <fill>
        <patternFill patternType="solid">
          <fgColor indexed="64"/>
          <bgColor theme="0"/>
        </patternFill>
      </fill>
    </dxf>
    <dxf>
      <alignment horizontal="general" vertical="center" textRotation="0" wrapText="1" indent="0" justifyLastLine="0" shrinkToFit="0" readingOrder="0"/>
    </dxf>
    <dxf>
      <fill>
        <patternFill patternType="solid">
          <fgColor indexed="64"/>
          <bgColor theme="0"/>
        </patternFill>
      </fill>
    </dxf>
    <dxf>
      <fill>
        <patternFill>
          <bgColor theme="4" tint="0.39994506668294322"/>
        </patternFill>
      </fill>
    </dxf>
    <dxf>
      <fill>
        <patternFill>
          <bgColor theme="4" tint="0.59996337778862885"/>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color theme="1" tint="4.9989318521683403E-2"/>
      </font>
    </dxf>
    <dxf>
      <font>
        <b/>
        <color theme="4" tint="-0.249977111117893"/>
      </font>
    </dxf>
    <dxf>
      <font>
        <b/>
        <i val="0"/>
        <color theme="4" tint="-0.499984740745262"/>
      </font>
      <border>
        <left style="thin">
          <color theme="4"/>
        </left>
        <right style="thin">
          <color theme="4"/>
        </right>
        <top style="double">
          <color theme="4"/>
        </top>
        <bottom style="thin">
          <color theme="4"/>
        </bottom>
      </border>
    </dxf>
    <dxf>
      <font>
        <b val="0"/>
        <i val="0"/>
        <color theme="4" tint="-0.24994659260841701"/>
      </font>
      <border>
        <left style="thin">
          <color theme="4"/>
        </left>
        <right style="thin">
          <color theme="4"/>
        </right>
        <top style="thin">
          <color theme="4"/>
        </top>
        <vertical/>
        <horizontal/>
      </border>
    </dxf>
    <dxf>
      <font>
        <b val="0"/>
        <i val="0"/>
        <color theme="3"/>
      </font>
      <border>
        <left style="thin">
          <color theme="4"/>
        </left>
        <right style="thin">
          <color theme="4"/>
        </right>
        <top style="thin">
          <color theme="4"/>
        </top>
        <bottom style="thin">
          <color theme="4"/>
        </bottom>
        <vertical style="thin">
          <color theme="4"/>
        </vertical>
        <horizontal style="thin">
          <color theme="4"/>
        </horizontal>
      </border>
    </dxf>
  </dxfs>
  <tableStyles count="1" defaultPivotStyle="PivotStyleLight16">
    <tableStyle name="Tabla de factura de ventas" pivot="0" count="7" xr9:uid="{00000000-0011-0000-FFFF-FFFF00000000}">
      <tableStyleElement type="wholeTable" dxfId="72"/>
      <tableStyleElement type="headerRow" dxfId="71"/>
      <tableStyleElement type="totalRow" dxfId="70"/>
      <tableStyleElement type="firstColumn" dxfId="69"/>
      <tableStyleElement type="lastColumn" dxfId="68"/>
      <tableStyleElement type="firstRowStripe" dxfId="67"/>
      <tableStyleElement type="firstColumnStripe" dxfId="66"/>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D8E4E8"/>
      <rgbColor rgb="00CC99FF"/>
      <rgbColor rgb="00EAEAEA"/>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haredStrings" Target="/xl/sharedStrings.xml" Id="rId8" /><Relationship Type="http://schemas.openxmlformats.org/officeDocument/2006/relationships/worksheet" Target="/xl/worksheets/sheet31.xml" Id="rId3" /><Relationship Type="http://schemas.openxmlformats.org/officeDocument/2006/relationships/styles" Target="/xl/styles.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theme" Target="/xl/theme/theme11.xml" Id="rId6" /><Relationship Type="http://schemas.openxmlformats.org/officeDocument/2006/relationships/worksheet" Target="/xl/worksheets/sheet54.xml" Id="rId5" /><Relationship Type="http://schemas.openxmlformats.org/officeDocument/2006/relationships/worksheet" Target="/xl/worksheets/sheet45.xml" Id="rId4" /><Relationship Type="http://schemas.openxmlformats.org/officeDocument/2006/relationships/calcChain" Target="/xl/calcChain.xml" Id="rId9" /></Relationships>
</file>

<file path=xl/drawings/drawing13.xml><?xml version="1.0" encoding="utf-8"?>
<xdr:wsDr xmlns:xdr="http://schemas.openxmlformats.org/drawingml/2006/spreadsheetDrawing" xmlns:a="http://schemas.openxmlformats.org/drawingml/2006/main">
  <xdr:twoCellAnchor editAs="absolute">
    <xdr:from>
      <xdr:col>8</xdr:col>
      <xdr:colOff>676851</xdr:colOff>
      <xdr:row>3</xdr:row>
      <xdr:rowOff>32327</xdr:rowOff>
    </xdr:from>
    <xdr:to>
      <xdr:col>14</xdr:col>
      <xdr:colOff>409574</xdr:colOff>
      <xdr:row>5</xdr:row>
      <xdr:rowOff>208974</xdr:rowOff>
    </xdr:to>
    <xdr:sp macro="" textlink="">
      <xdr:nvSpPr>
        <xdr:cNvPr id="9" name="Sugerencia de entrada de datos" descr="Sugerencia de entrada de datos&#10;">
          <a:extLst>
            <a:ext uri="{FF2B5EF4-FFF2-40B4-BE49-F238E27FC236}">
              <a16:creationId xmlns:a16="http://schemas.microsoft.com/office/drawing/2014/main" id="{00000000-0008-0000-0000-000009000000}"/>
            </a:ext>
          </a:extLst>
        </xdr:cNvPr>
        <xdr:cNvSpPr/>
      </xdr:nvSpPr>
      <xdr:spPr bwMode="auto">
        <a:xfrm>
          <a:off x="10373301" y="1375352"/>
          <a:ext cx="3485573" cy="729097"/>
        </a:xfrm>
        <a:prstGeom prst="wedgeRectCallout">
          <a:avLst>
            <a:gd name="adj1" fmla="val -65185"/>
            <a:gd name="adj2" fmla="val -21916"/>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es" sz="1100">
              <a:solidFill>
                <a:schemeClr val="bg1"/>
              </a:solidFill>
              <a:latin typeface="+mj-lt"/>
            </a:rPr>
            <a:t>Haga clic aquí para seleccionar un</a:t>
          </a:r>
          <a:r>
            <a:rPr lang="es" sz="1100" baseline="0">
              <a:solidFill>
                <a:schemeClr val="bg1"/>
              </a:solidFill>
              <a:latin typeface="+mj-lt"/>
            </a:rPr>
            <a:t> </a:t>
          </a:r>
          <a:r>
            <a:rPr lang="es-ES" sz="1100">
              <a:solidFill>
                <a:schemeClr val="bg1"/>
              </a:solidFill>
              <a:latin typeface="+mj-lt"/>
              <a:ea typeface="+mn-ea"/>
              <a:cs typeface="+mn-cs"/>
            </a:rPr>
            <a:t>N.º de factura</a:t>
          </a:r>
          <a:r>
            <a:rPr lang="es" sz="1100">
              <a:solidFill>
                <a:schemeClr val="bg1"/>
              </a:solidFill>
              <a:latin typeface="+mj-lt"/>
              <a:ea typeface="+mn-ea"/>
              <a:cs typeface="+mn-cs"/>
            </a:rPr>
            <a:t> </a:t>
          </a:r>
          <a:r>
            <a:rPr lang="es" sz="1100" baseline="0">
              <a:solidFill>
                <a:schemeClr val="bg1"/>
              </a:solidFill>
              <a:latin typeface="+mj-lt"/>
            </a:rPr>
            <a:t>de la lista desplegable.</a:t>
          </a:r>
          <a:endParaRPr lang="en-US" sz="1100">
            <a:solidFill>
              <a:schemeClr val="bg1"/>
            </a:solidFill>
            <a:latin typeface="+mj-lt"/>
          </a:endParaRPr>
        </a:p>
      </xdr:txBody>
    </xdr:sp>
    <xdr:clientData fPrintsWithSheet="0"/>
  </xdr:twoCellAnchor>
  <xdr:twoCellAnchor editAs="absolute">
    <xdr:from>
      <xdr:col>8</xdr:col>
      <xdr:colOff>646838</xdr:colOff>
      <xdr:row>6</xdr:row>
      <xdr:rowOff>546100</xdr:rowOff>
    </xdr:from>
    <xdr:to>
      <xdr:col>14</xdr:col>
      <xdr:colOff>383948</xdr:colOff>
      <xdr:row>12</xdr:row>
      <xdr:rowOff>136525</xdr:rowOff>
    </xdr:to>
    <xdr:sp macro="" textlink="">
      <xdr:nvSpPr>
        <xdr:cNvPr id="3" name="Sugerencia de entrada de datos" descr="Texto de sugerencia">
          <a:extLst>
            <a:ext uri="{FF2B5EF4-FFF2-40B4-BE49-F238E27FC236}">
              <a16:creationId xmlns:a16="http://schemas.microsoft.com/office/drawing/2014/main" id="{00000000-0008-0000-0000-000003000000}"/>
            </a:ext>
          </a:extLst>
        </xdr:cNvPr>
        <xdr:cNvSpPr/>
      </xdr:nvSpPr>
      <xdr:spPr bwMode="auto">
        <a:xfrm>
          <a:off x="10343288" y="2689225"/>
          <a:ext cx="3489960" cy="2286000"/>
        </a:xfrm>
        <a:prstGeom prst="wedgeRectCallout">
          <a:avLst>
            <a:gd name="adj1" fmla="val -49903"/>
            <a:gd name="adj2" fmla="val -21645"/>
          </a:avLst>
        </a:prstGeom>
        <a:solidFill>
          <a:schemeClr val="accent1">
            <a:lumMod val="75000"/>
          </a:schemeClr>
        </a:solidFill>
        <a:ln>
          <a:solidFill>
            <a:schemeClr val="accent1">
              <a:lumMod val="75000"/>
            </a:schemeClr>
          </a:solidFill>
          <a:headEnd type="none" w="med" len="med"/>
          <a:tailEnd type="none" w="med" len="med"/>
        </a:ln>
      </xdr:spPr>
      <xdr:style>
        <a:lnRef idx="1">
          <a:schemeClr val="accent1"/>
        </a:lnRef>
        <a:fillRef idx="2">
          <a:schemeClr val="accent1"/>
        </a:fillRef>
        <a:effectRef idx="1">
          <a:schemeClr val="accent1"/>
        </a:effectRef>
        <a:fontRef idx="minor">
          <a:schemeClr val="dk1"/>
        </a:fontRef>
      </xdr:style>
      <xdr:txBody>
        <a:bodyPr vertOverflow="clip" horzOverflow="clip" wrap="square" lIns="91440" tIns="0" rIns="91440" bIns="0" rtlCol="0" anchor="ctr" upright="1"/>
        <a:lstStyle/>
        <a:p>
          <a:pPr algn="l" rtl="0"/>
          <a:r>
            <a:rPr lang="es" sz="1100" b="1">
              <a:solidFill>
                <a:schemeClr val="bg1"/>
              </a:solidFill>
              <a:latin typeface="+mj-lt"/>
            </a:rPr>
            <a:t>SUGERENCIA:</a:t>
          </a:r>
          <a:r>
            <a:rPr lang="es" sz="1100">
              <a:solidFill>
                <a:schemeClr val="bg1"/>
              </a:solidFill>
              <a:latin typeface="+mj-lt"/>
            </a:rPr>
            <a:t> Esta hoja de cálculo está en modo protegido. Solo se puede seleccionar "N.º de </a:t>
          </a:r>
          <a:r>
            <a:rPr lang="es" sz="1100" baseline="0">
              <a:solidFill>
                <a:schemeClr val="bg1"/>
              </a:solidFill>
              <a:latin typeface="+mj-lt"/>
            </a:rPr>
            <a:t>factura". Para desproteger esta hoja de cálculo, vea la hoja de cálculo "</a:t>
          </a:r>
          <a:r>
            <a:rPr lang="es-ES" sz="1100" baseline="0">
              <a:solidFill>
                <a:schemeClr val="bg1"/>
              </a:solidFill>
              <a:latin typeface="+mj-lt"/>
            </a:rPr>
            <a:t>Acerca de este rastreador de fa</a:t>
          </a:r>
          <a:r>
            <a:rPr lang="es" sz="1100" baseline="0">
              <a:solidFill>
                <a:schemeClr val="bg1"/>
              </a:solidFill>
              <a:latin typeface="+mj-lt"/>
            </a:rPr>
            <a:t>".</a:t>
          </a:r>
        </a:p>
        <a:p>
          <a:pPr algn="l" rtl="0"/>
          <a:endParaRPr lang="en-US" sz="1100" baseline="0">
            <a:solidFill>
              <a:schemeClr val="bg1"/>
            </a:solidFill>
            <a:latin typeface="+mj-lt"/>
          </a:endParaRPr>
        </a:p>
        <a:p>
          <a:pPr algn="l" rtl="0"/>
          <a:r>
            <a:rPr lang="es" sz="1100" baseline="0">
              <a:solidFill>
                <a:schemeClr val="bg1"/>
              </a:solidFill>
              <a:latin typeface="+mj-lt"/>
            </a:rPr>
            <a:t>Después de desproteger esta hoja de cálculo, para eliminar esta nota, haga clic en el borde para seleccionarla y presione </a:t>
          </a:r>
          <a:r>
            <a:rPr lang="es" sz="1100" b="1" baseline="0">
              <a:solidFill>
                <a:schemeClr val="bg1"/>
              </a:solidFill>
              <a:latin typeface="+mj-lt"/>
            </a:rPr>
            <a:t>Suprimir</a:t>
          </a:r>
          <a:r>
            <a:rPr lang="es" sz="1100" baseline="0">
              <a:solidFill>
                <a:schemeClr val="bg1"/>
              </a:solidFill>
              <a:latin typeface="+mj-lt"/>
            </a:rPr>
            <a:t>.</a:t>
          </a: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1008461</xdr:colOff>
      <xdr:row>0</xdr:row>
      <xdr:rowOff>259715</xdr:rowOff>
    </xdr:to>
    <xdr:grpSp>
      <xdr:nvGrpSpPr>
        <xdr:cNvPr id="48" name="Encabezado de ilustración del grupo" descr="Encabezado de ilustración">
          <a:extLst>
            <a:ext uri="{FF2B5EF4-FFF2-40B4-BE49-F238E27FC236}">
              <a16:creationId xmlns:a16="http://schemas.microsoft.com/office/drawing/2014/main" id="{00000000-0008-0000-0100-000030000000}"/>
            </a:ext>
          </a:extLst>
        </xdr:cNvPr>
        <xdr:cNvGrpSpPr/>
      </xdr:nvGrpSpPr>
      <xdr:grpSpPr>
        <a:xfrm>
          <a:off x="190500" y="95250"/>
          <a:ext cx="13543361" cy="164465"/>
          <a:chOff x="171449" y="152400"/>
          <a:chExt cx="13657124" cy="164465"/>
        </a:xfrm>
      </xdr:grpSpPr>
      <xdr:sp macro="" textlink="">
        <xdr:nvSpPr>
          <xdr:cNvPr id="39" name="Rectángulo 38" title="Gráfico corto del pie de página">
            <a:extLst>
              <a:ext uri="{FF2B5EF4-FFF2-40B4-BE49-F238E27FC236}">
                <a16:creationId xmlns:a16="http://schemas.microsoft.com/office/drawing/2014/main" id="{00000000-0008-0000-0100-000027000000}"/>
              </a:ext>
            </a:extLst>
          </xdr:cNvPr>
          <xdr:cNvSpPr/>
        </xdr:nvSpPr>
        <xdr:spPr>
          <a:xfrm>
            <a:off x="171449" y="152400"/>
            <a:ext cx="987552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46" name="Grupo 45">
            <a:extLst>
              <a:ext uri="{FF2B5EF4-FFF2-40B4-BE49-F238E27FC236}">
                <a16:creationId xmlns:a16="http://schemas.microsoft.com/office/drawing/2014/main" id="{00000000-0008-0000-0100-00002E000000}"/>
              </a:ext>
            </a:extLst>
          </xdr:cNvPr>
          <xdr:cNvGrpSpPr/>
        </xdr:nvGrpSpPr>
        <xdr:grpSpPr>
          <a:xfrm>
            <a:off x="10079532" y="152400"/>
            <a:ext cx="3749041" cy="164465"/>
            <a:chOff x="10584357" y="200025"/>
            <a:chExt cx="3749041" cy="164465"/>
          </a:xfrm>
        </xdr:grpSpPr>
        <xdr:sp macro="" textlink="">
          <xdr:nvSpPr>
            <xdr:cNvPr id="40" name="Rectángulo 39">
              <a:extLst>
                <a:ext uri="{FF2B5EF4-FFF2-40B4-BE49-F238E27FC236}">
                  <a16:creationId xmlns:a16="http://schemas.microsoft.com/office/drawing/2014/main" id="{00000000-0008-0000-0100-000028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1" name="Rectángulo 40">
              <a:extLst>
                <a:ext uri="{FF2B5EF4-FFF2-40B4-BE49-F238E27FC236}">
                  <a16:creationId xmlns:a16="http://schemas.microsoft.com/office/drawing/2014/main" id="{00000000-0008-0000-0100-000029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2" name="Rectángulo 41">
              <a:extLst>
                <a:ext uri="{FF2B5EF4-FFF2-40B4-BE49-F238E27FC236}">
                  <a16:creationId xmlns:a16="http://schemas.microsoft.com/office/drawing/2014/main" id="{00000000-0008-0000-0100-00002A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3" name="Rectángulo 42">
              <a:extLst>
                <a:ext uri="{FF2B5EF4-FFF2-40B4-BE49-F238E27FC236}">
                  <a16:creationId xmlns:a16="http://schemas.microsoft.com/office/drawing/2014/main" id="{00000000-0008-0000-0100-00002B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44" name="Rectángulo 43">
              <a:extLst>
                <a:ext uri="{FF2B5EF4-FFF2-40B4-BE49-F238E27FC236}">
                  <a16:creationId xmlns:a16="http://schemas.microsoft.com/office/drawing/2014/main" id="{00000000-0008-0000-0100-00002C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31.xml><?xml version="1.0" encoding="utf-8"?>
<xdr:wsDr xmlns:xdr="http://schemas.openxmlformats.org/drawingml/2006/spreadsheetDrawing" xmlns:a="http://schemas.openxmlformats.org/drawingml/2006/main">
  <xdr:twoCellAnchor>
    <xdr:from>
      <xdr:col>1</xdr:col>
      <xdr:colOff>0</xdr:colOff>
      <xdr:row>0</xdr:row>
      <xdr:rowOff>95250</xdr:rowOff>
    </xdr:from>
    <xdr:to>
      <xdr:col>11</xdr:col>
      <xdr:colOff>181</xdr:colOff>
      <xdr:row>0</xdr:row>
      <xdr:rowOff>259715</xdr:rowOff>
    </xdr:to>
    <xdr:grpSp>
      <xdr:nvGrpSpPr>
        <xdr:cNvPr id="11" name="Encabezado de ilustración del grupo" descr="Encabezado de ilustración">
          <a:extLst>
            <a:ext uri="{FF2B5EF4-FFF2-40B4-BE49-F238E27FC236}">
              <a16:creationId xmlns:a16="http://schemas.microsoft.com/office/drawing/2014/main" id="{00000000-0008-0000-0200-00000B000000}"/>
            </a:ext>
          </a:extLst>
        </xdr:cNvPr>
        <xdr:cNvGrpSpPr/>
      </xdr:nvGrpSpPr>
      <xdr:grpSpPr>
        <a:xfrm>
          <a:off x="190500" y="95250"/>
          <a:ext cx="13963831" cy="164465"/>
          <a:chOff x="142875" y="85725"/>
          <a:chExt cx="7705905" cy="164465"/>
        </a:xfrm>
      </xdr:grpSpPr>
      <xdr:sp macro="" textlink="">
        <xdr:nvSpPr>
          <xdr:cNvPr id="4" name="Rectángulo 3" title="Gráfico corto del pie de página">
            <a:extLst>
              <a:ext uri="{FF2B5EF4-FFF2-40B4-BE49-F238E27FC236}">
                <a16:creationId xmlns:a16="http://schemas.microsoft.com/office/drawing/2014/main" id="{00000000-0008-0000-0200-000004000000}"/>
              </a:ext>
            </a:extLst>
          </xdr:cNvPr>
          <xdr:cNvSpPr/>
        </xdr:nvSpPr>
        <xdr:spPr>
          <a:xfrm>
            <a:off x="142875" y="85725"/>
            <a:ext cx="5120640"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5" name="Grupo 4">
            <a:extLst>
              <a:ext uri="{FF2B5EF4-FFF2-40B4-BE49-F238E27FC236}">
                <a16:creationId xmlns:a16="http://schemas.microsoft.com/office/drawing/2014/main" id="{00000000-0008-0000-0200-000005000000}"/>
              </a:ext>
            </a:extLst>
          </xdr:cNvPr>
          <xdr:cNvGrpSpPr/>
        </xdr:nvGrpSpPr>
        <xdr:grpSpPr>
          <a:xfrm>
            <a:off x="5288459" y="85725"/>
            <a:ext cx="2560321" cy="164465"/>
            <a:chOff x="10584357" y="200025"/>
            <a:chExt cx="3749041" cy="164465"/>
          </a:xfrm>
        </xdr:grpSpPr>
        <xdr:sp macro="" textlink="">
          <xdr:nvSpPr>
            <xdr:cNvPr id="6" name="Rectángulo 5">
              <a:extLst>
                <a:ext uri="{FF2B5EF4-FFF2-40B4-BE49-F238E27FC236}">
                  <a16:creationId xmlns:a16="http://schemas.microsoft.com/office/drawing/2014/main" id="{00000000-0008-0000-02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ctángulo 6">
              <a:extLst>
                <a:ext uri="{FF2B5EF4-FFF2-40B4-BE49-F238E27FC236}">
                  <a16:creationId xmlns:a16="http://schemas.microsoft.com/office/drawing/2014/main" id="{00000000-0008-0000-0200-000007000000}"/>
                </a:ext>
              </a:extLst>
            </xdr:cNvPr>
            <xdr:cNvSpPr/>
          </xdr:nvSpPr>
          <xdr:spPr>
            <a:xfrm>
              <a:off x="10584357"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ctángulo 7">
              <a:extLst>
                <a:ext uri="{FF2B5EF4-FFF2-40B4-BE49-F238E27FC236}">
                  <a16:creationId xmlns:a16="http://schemas.microsoft.com/office/drawing/2014/main" id="{00000000-0008-0000-02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ctángulo 9">
              <a:extLst>
                <a:ext uri="{FF2B5EF4-FFF2-40B4-BE49-F238E27FC236}">
                  <a16:creationId xmlns:a16="http://schemas.microsoft.com/office/drawing/2014/main" id="{00000000-0008-0000-02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0</xdr:colOff>
      <xdr:row>0</xdr:row>
      <xdr:rowOff>95251</xdr:rowOff>
    </xdr:from>
    <xdr:to>
      <xdr:col>8</xdr:col>
      <xdr:colOff>8763</xdr:colOff>
      <xdr:row>0</xdr:row>
      <xdr:rowOff>259843</xdr:rowOff>
    </xdr:to>
    <xdr:grpSp>
      <xdr:nvGrpSpPr>
        <xdr:cNvPr id="12" name="Encabezado de ilustración del grupo" descr="Encabezado de ilustración">
          <a:extLst>
            <a:ext uri="{FF2B5EF4-FFF2-40B4-BE49-F238E27FC236}">
              <a16:creationId xmlns:a16="http://schemas.microsoft.com/office/drawing/2014/main" id="{00000000-0008-0000-0300-00000C000000}"/>
            </a:ext>
          </a:extLst>
        </xdr:cNvPr>
        <xdr:cNvGrpSpPr/>
      </xdr:nvGrpSpPr>
      <xdr:grpSpPr>
        <a:xfrm>
          <a:off x="171450" y="95251"/>
          <a:ext cx="8285988" cy="164592"/>
          <a:chOff x="142875" y="104775"/>
          <a:chExt cx="6914767" cy="164465"/>
        </a:xfrm>
      </xdr:grpSpPr>
      <xdr:sp macro="" textlink="">
        <xdr:nvSpPr>
          <xdr:cNvPr id="4" name="Rectángulo 3" title="Gráfico corto del pie de página">
            <a:extLst>
              <a:ext uri="{FF2B5EF4-FFF2-40B4-BE49-F238E27FC236}">
                <a16:creationId xmlns:a16="http://schemas.microsoft.com/office/drawing/2014/main" id="{00000000-0008-0000-0300-000004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5" name="Grupo 4">
            <a:extLst>
              <a:ext uri="{FF2B5EF4-FFF2-40B4-BE49-F238E27FC236}">
                <a16:creationId xmlns:a16="http://schemas.microsoft.com/office/drawing/2014/main" id="{00000000-0008-0000-0300-000005000000}"/>
              </a:ext>
            </a:extLst>
          </xdr:cNvPr>
          <xdr:cNvGrpSpPr/>
        </xdr:nvGrpSpPr>
        <xdr:grpSpPr>
          <a:xfrm>
            <a:off x="4848240" y="104775"/>
            <a:ext cx="2199877" cy="164465"/>
            <a:chOff x="10584358" y="200025"/>
            <a:chExt cx="3749040" cy="164465"/>
          </a:xfrm>
        </xdr:grpSpPr>
        <xdr:sp macro="" textlink="">
          <xdr:nvSpPr>
            <xdr:cNvPr id="6" name="Rectángulo 5">
              <a:extLst>
                <a:ext uri="{FF2B5EF4-FFF2-40B4-BE49-F238E27FC236}">
                  <a16:creationId xmlns:a16="http://schemas.microsoft.com/office/drawing/2014/main" id="{00000000-0008-0000-0300-000006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Rectángulo 6">
              <a:extLst>
                <a:ext uri="{FF2B5EF4-FFF2-40B4-BE49-F238E27FC236}">
                  <a16:creationId xmlns:a16="http://schemas.microsoft.com/office/drawing/2014/main" id="{00000000-0008-0000-0300-000007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Rectángulo 7">
              <a:extLst>
                <a:ext uri="{FF2B5EF4-FFF2-40B4-BE49-F238E27FC236}">
                  <a16:creationId xmlns:a16="http://schemas.microsoft.com/office/drawing/2014/main" id="{00000000-0008-0000-0300-000008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9" name="Rectángulo 8">
              <a:extLst>
                <a:ext uri="{FF2B5EF4-FFF2-40B4-BE49-F238E27FC236}">
                  <a16:creationId xmlns:a16="http://schemas.microsoft.com/office/drawing/2014/main" id="{00000000-0008-0000-0300-000009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0" name="Rectángulo 9">
              <a:extLst>
                <a:ext uri="{FF2B5EF4-FFF2-40B4-BE49-F238E27FC236}">
                  <a16:creationId xmlns:a16="http://schemas.microsoft.com/office/drawing/2014/main" id="{00000000-0008-0000-0300-00000A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152400</xdr:colOff>
      <xdr:row>40</xdr:row>
      <xdr:rowOff>133350</xdr:rowOff>
    </xdr:from>
    <xdr:to>
      <xdr:col>7</xdr:col>
      <xdr:colOff>1588864</xdr:colOff>
      <xdr:row>41</xdr:row>
      <xdr:rowOff>107442</xdr:rowOff>
    </xdr:to>
    <xdr:grpSp>
      <xdr:nvGrpSpPr>
        <xdr:cNvPr id="16" name="Pie de ilustración del grupo" descr="Pie de ilustración">
          <a:extLst>
            <a:ext uri="{FF2B5EF4-FFF2-40B4-BE49-F238E27FC236}">
              <a16:creationId xmlns:a16="http://schemas.microsoft.com/office/drawing/2014/main" id="{00000000-0008-0000-0400-000010000000}"/>
            </a:ext>
          </a:extLst>
        </xdr:cNvPr>
        <xdr:cNvGrpSpPr/>
      </xdr:nvGrpSpPr>
      <xdr:grpSpPr>
        <a:xfrm>
          <a:off x="152400" y="20345400"/>
          <a:ext cx="8218264" cy="164592"/>
          <a:chOff x="142875" y="104775"/>
          <a:chExt cx="6905242" cy="164465"/>
        </a:xfrm>
      </xdr:grpSpPr>
      <xdr:sp macro="" textlink="">
        <xdr:nvSpPr>
          <xdr:cNvPr id="17" name="Rectángulo 16" title="Gráfico corto del pie de página">
            <a:extLst>
              <a:ext uri="{FF2B5EF4-FFF2-40B4-BE49-F238E27FC236}">
                <a16:creationId xmlns:a16="http://schemas.microsoft.com/office/drawing/2014/main" id="{00000000-0008-0000-0400-000011000000}"/>
              </a:ext>
            </a:extLst>
          </xdr:cNvPr>
          <xdr:cNvSpPr/>
        </xdr:nvSpPr>
        <xdr:spPr>
          <a:xfrm>
            <a:off x="142875" y="104775"/>
            <a:ext cx="4672306" cy="164465"/>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457200" tIns="45720" rIns="91440" bIns="45720" numCol="1" spcCol="0" rtlCol="0" fromWordArt="0" anchor="ctr" anchorCtr="0" forceAA="0" compatLnSpc="1">
            <a:prstTxWarp prst="textNoShape">
              <a:avLst/>
            </a:prstTxWarp>
            <a:noAutofit/>
          </a:bodyPr>
          <a:lstStyle/>
          <a:p>
            <a:pPr marL="0" marR="91440" rtl="0">
              <a:spcBef>
                <a:spcPts val="0"/>
              </a:spcBef>
              <a:spcAft>
                <a:spcPts val="0"/>
              </a:spcAft>
            </a:pPr>
            <a:r>
              <a:rPr lang="es" sz="2500" b="1">
                <a:solidFill>
                  <a:srgbClr val="000000"/>
                </a:solidFill>
                <a:effectLst/>
                <a:ea typeface="Arial"/>
                <a:cs typeface="Times New Roman"/>
              </a:rPr>
              <a:t> </a:t>
            </a:r>
          </a:p>
        </xdr:txBody>
      </xdr:sp>
      <xdr:grpSp>
        <xdr:nvGrpSpPr>
          <xdr:cNvPr id="18" name="Grupo 17">
            <a:extLst>
              <a:ext uri="{FF2B5EF4-FFF2-40B4-BE49-F238E27FC236}">
                <a16:creationId xmlns:a16="http://schemas.microsoft.com/office/drawing/2014/main" id="{00000000-0008-0000-0400-000012000000}"/>
              </a:ext>
            </a:extLst>
          </xdr:cNvPr>
          <xdr:cNvGrpSpPr/>
        </xdr:nvGrpSpPr>
        <xdr:grpSpPr>
          <a:xfrm>
            <a:off x="4848240" y="104775"/>
            <a:ext cx="2199877" cy="164465"/>
            <a:chOff x="10584358" y="200025"/>
            <a:chExt cx="3749040" cy="164465"/>
          </a:xfrm>
        </xdr:grpSpPr>
        <xdr:sp macro="" textlink="">
          <xdr:nvSpPr>
            <xdr:cNvPr id="19" name="Rectángulo 18">
              <a:extLst>
                <a:ext uri="{FF2B5EF4-FFF2-40B4-BE49-F238E27FC236}">
                  <a16:creationId xmlns:a16="http://schemas.microsoft.com/office/drawing/2014/main" id="{00000000-0008-0000-0400-000013000000}"/>
                </a:ext>
              </a:extLst>
            </xdr:cNvPr>
            <xdr:cNvSpPr/>
          </xdr:nvSpPr>
          <xdr:spPr>
            <a:xfrm>
              <a:off x="11580747" y="200025"/>
              <a:ext cx="2736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 name="Rectángulo 19">
              <a:extLst>
                <a:ext uri="{FF2B5EF4-FFF2-40B4-BE49-F238E27FC236}">
                  <a16:creationId xmlns:a16="http://schemas.microsoft.com/office/drawing/2014/main" id="{00000000-0008-0000-0400-000014000000}"/>
                </a:ext>
              </a:extLst>
            </xdr:cNvPr>
            <xdr:cNvSpPr/>
          </xdr:nvSpPr>
          <xdr:spPr>
            <a:xfrm>
              <a:off x="10584358" y="200025"/>
              <a:ext cx="995986"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 name="Rectángulo 20">
              <a:extLst>
                <a:ext uri="{FF2B5EF4-FFF2-40B4-BE49-F238E27FC236}">
                  <a16:creationId xmlns:a16="http://schemas.microsoft.com/office/drawing/2014/main" id="{00000000-0008-0000-0400-000015000000}"/>
                </a:ext>
              </a:extLst>
            </xdr:cNvPr>
            <xdr:cNvSpPr/>
          </xdr:nvSpPr>
          <xdr:spPr>
            <a:xfrm>
              <a:off x="11852127" y="200025"/>
              <a:ext cx="1003728"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 name="Rectángulo 21">
              <a:extLst>
                <a:ext uri="{FF2B5EF4-FFF2-40B4-BE49-F238E27FC236}">
                  <a16:creationId xmlns:a16="http://schemas.microsoft.com/office/drawing/2014/main" id="{00000000-0008-0000-0400-000016000000}"/>
                </a:ext>
              </a:extLst>
            </xdr:cNvPr>
            <xdr:cNvSpPr/>
          </xdr:nvSpPr>
          <xdr:spPr>
            <a:xfrm>
              <a:off x="12855855" y="200025"/>
              <a:ext cx="576377"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 name="Rectángulo 22">
              <a:extLst>
                <a:ext uri="{FF2B5EF4-FFF2-40B4-BE49-F238E27FC236}">
                  <a16:creationId xmlns:a16="http://schemas.microsoft.com/office/drawing/2014/main" id="{00000000-0008-0000-0400-000017000000}"/>
                </a:ext>
              </a:extLst>
            </xdr:cNvPr>
            <xdr:cNvSpPr/>
          </xdr:nvSpPr>
          <xdr:spPr>
            <a:xfrm>
              <a:off x="13431724" y="200025"/>
              <a:ext cx="901674" cy="164465"/>
            </a:xfrm>
            <a:prstGeom prst="rect">
              <a:avLst/>
            </a:prstGeom>
            <a:solidFill>
              <a:schemeClr val="accent1">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grpSp>
    <xdr:clientData fPrintsWithSheet="0"/>
  </xdr:twoCellAnchor>
</xdr:wsDr>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ProjectInvoice" displayName="ProjectInvoice" ref="B8:G33" dataDxfId="60" totalsRowDxfId="59">
  <autoFilter ref="B8:G33" xr:uid="{00000000-0009-0000-0100-000004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Artículo nº" totalsRowLabel="Total" dataDxfId="58" totalsRowDxfId="57">
      <calculatedColumnFormula array="1">IFERROR(INDEX(InvoiceDetails[],SMALL(IF(InvoiceDetails[N.º de factura]=rngInvoice,ROW(InvoiceDetails[])-ROW(InvoiceDetails[#Headers])), ROW(1:1)), MATCH($B$8, InvoiceDetails[#Headers], 0)),"")</calculatedColumnFormula>
    </tableColumn>
    <tableColumn id="2" xr3:uid="{00000000-0010-0000-0000-000002000000}" name="Descripción" dataDxfId="56" totalsRowDxfId="55">
      <calculatedColumnFormula array="1">IFERROR(INDEX(InvoiceDetails[],SMALL(IF(InvoiceDetails[N.º de factura]=rngInvoice,ROW(InvoiceDetails[])-ROW(InvoiceDetails[#Headers])), ROW(1:1)), MATCH($C$8, InvoiceDetails[#Headers], 0)),"")</calculatedColumnFormula>
    </tableColumn>
    <tableColumn id="7" xr3:uid="{00000000-0010-0000-0000-000007000000}" name="Cant." dataDxfId="54" totalsRowDxfId="53">
      <calculatedColumnFormula array="1">IFERROR(INDEX(InvoiceDetails[],SMALL(IF(InvoiceDetails[N.º de factura]=rngInvoice,ROW(InvoiceDetails[])-ROW(InvoiceDetails[#Headers])), ROW(1:1)), MATCH($D$8, InvoiceDetails[#Headers], 0)),"")</calculatedColumnFormula>
    </tableColumn>
    <tableColumn id="8" xr3:uid="{00000000-0010-0000-0000-000008000000}" name="Precio por unidad" dataDxfId="52" totalsRowDxfId="51">
      <calculatedColumnFormula array="1">IFERROR(INDEX(InvoiceDetails[],SMALL(IF(InvoiceDetails[N.º de factura]=rngInvoice,ROW(InvoiceDetails[])-ROW(InvoiceDetails[#Headers])), ROW(1:1)), MATCH($E$8, InvoiceDetails[#Headers], 0)),"")</calculatedColumnFormula>
    </tableColumn>
    <tableColumn id="10" xr3:uid="{00000000-0010-0000-0000-00000A000000}" name="Descuento" dataDxfId="50" totalsRowDxfId="49">
      <calculatedColumnFormula array="1">IFERROR(INDEX(InvoiceDetails[],SMALL(IF(InvoiceDetails[N.º de factura]=rngInvoice,ROW(InvoiceDetails[])-ROW(InvoiceDetails[#Headers])), ROW(1:1)), MATCH($F$8, InvoiceDetails[#Headers], 0)),"")</calculatedColumnFormula>
    </tableColumn>
    <tableColumn id="11" xr3:uid="{00000000-0010-0000-0000-00000B000000}" name="Precio" totalsRowFunction="count" dataDxfId="48" totalsRowDxfId="47">
      <calculatedColumnFormula>IFERROR((D9*E9)-F9,"")</calculatedColumnFormula>
    </tableColumn>
  </tableColumns>
  <tableStyleInfo name="Tabla de factura de ventas" showFirstColumn="0" showLastColumn="1" showRowStripes="1" showColumnStripes="0"/>
  <extLst>
    <ext xmlns:x14="http://schemas.microsoft.com/office/spreadsheetml/2009/9/main" uri="{504A1905-F514-4f6f-8877-14C23A59335A}">
      <x14:table altTextSummary="Lista de facturas con el elemento nº, descripción, cantidad, precio unitario, descuento y precio"/>
    </ext>
  </extLst>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CustomerList" displayName="CustomerList" ref="B3:L6" totalsRowCount="1">
  <autoFilter ref="B3:L5" xr:uid="{00000000-0009-0000-0100-000001000000}"/>
  <tableColumns count="11">
    <tableColumn id="9" xr3:uid="{00000000-0010-0000-0100-000009000000}" name="Búsqueda" totalsRowLabel="Totales" dataDxfId="44" totalsRowDxfId="10">
      <calculatedColumnFormula>C4&amp; " - "&amp;D4</calculatedColumnFormula>
    </tableColumn>
    <tableColumn id="1" xr3:uid="{00000000-0010-0000-0100-000001000000}" name="N.º de compañía" totalsRowFunction="custom" dataDxfId="43" totalsRowDxfId="9">
      <totalsRowFormula>"Clientes totales: "&amp;SUBTOTAL(103,CustomerList[N.º de compañía])</totalsRowFormula>
    </tableColumn>
    <tableColumn id="2" xr3:uid="{00000000-0010-0000-0100-000002000000}" name="Nombre de la empresa" totalsRowDxfId="8"/>
    <tableColumn id="3" xr3:uid="{00000000-0010-0000-0100-000003000000}" name="Nombre de contacto" totalsRowDxfId="7"/>
    <tableColumn id="4" xr3:uid="{00000000-0010-0000-0100-000004000000}" name="Dirección" totalsRowDxfId="6"/>
    <tableColumn id="5" xr3:uid="{00000000-0010-0000-0100-000005000000}" name="Ciudad" totalsRowDxfId="5"/>
    <tableColumn id="6" xr3:uid="{00000000-0010-0000-0100-000006000000}" name="Provincia" totalsRowDxfId="4"/>
    <tableColumn id="7" xr3:uid="{00000000-0010-0000-0100-000007000000}" name="Código postal" totalsRowDxfId="3"/>
    <tableColumn id="8" xr3:uid="{00000000-0010-0000-0100-000008000000}" name="Teléfono" totalsRowDxfId="2"/>
    <tableColumn id="10" xr3:uid="{00000000-0010-0000-0100-00000A000000}" name="Correo electrónico" dataDxfId="42" totalsRowDxfId="1" dataCellStyle="Normal"/>
    <tableColumn id="11" xr3:uid="{00000000-0010-0000-0100-00000B000000}" name="Fax" totalsRowDxfId="0"/>
  </tableColumns>
  <tableStyleInfo name="Tabla de factura de ventas" showFirstColumn="0" showLastColumn="0" showRowStripes="1" showColumnStripes="0"/>
  <extLst>
    <ext xmlns:x14="http://schemas.microsoft.com/office/spreadsheetml/2009/9/main" uri="{504A1905-F514-4f6f-8877-14C23A59335A}">
      <x14:table altTextSummary="Lista de clientes con la empresa nº, nombre de la empresa, nombre de contacto, dirección, ciudad, estado, código postal, teléfono, correo electrónico y fax"/>
    </ext>
  </extLst>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InvoicesMain" displayName="InvoicesMain" ref="B3:K6" totalsRowCount="1" totalsRowDxfId="40">
  <autoFilter ref="B3:K5" xr:uid="{00000000-0009-0000-0100-000003000000}"/>
  <tableColumns count="10">
    <tableColumn id="1" xr3:uid="{00000000-0010-0000-0200-000001000000}" name="N.º de factura" totalsRowLabel="Totales" dataDxfId="39" totalsRowDxfId="38"/>
    <tableColumn id="2" xr3:uid="{00000000-0010-0000-0200-000002000000}" name="Compañía" totalsRowFunction="custom" dataDxfId="37" totalsRowDxfId="36">
      <totalsRowFormula>"Facturas totales: "&amp;SUBTOTAL(103,InvoicesMain[N.º de factura])</totalsRowFormula>
    </tableColumn>
    <tableColumn id="3" xr3:uid="{00000000-0010-0000-0200-000003000000}" name="Fecha de la factura" dataDxfId="35" totalsRowDxfId="34"/>
    <tableColumn id="4" xr3:uid="{00000000-0010-0000-0200-000004000000}" name="Descripción del proyecto" dataDxfId="33" totalsRowDxfId="32"/>
    <tableColumn id="8" xr3:uid="{00000000-0010-0000-0200-000008000000}" name="Tipo impositivo" dataDxfId="31" totalsRowDxfId="30"/>
    <tableColumn id="9" xr3:uid="{00000000-0010-0000-0200-000009000000}" name="Otros" totalsRowFunction="sum" dataDxfId="29" totalsRowDxfId="28"/>
    <tableColumn id="6" xr3:uid="{00000000-0010-0000-0200-000006000000}" name="Depósito" totalsRowFunction="sum" dataDxfId="27" totalsRowDxfId="26"/>
    <tableColumn id="7" xr3:uid="{00000000-0010-0000-0200-000007000000}" name="Total de detalles" totalsRowFunction="sum" dataDxfId="25" totalsRowDxfId="24">
      <calculatedColumnFormula>SUMIF(InvoiceDetails[N.º de factura],"="&amp;InvoicesMain[[#This Row],[N.º de factura]],InvoiceDetails[Total])</calculatedColumnFormula>
    </tableColumn>
    <tableColumn id="10" xr3:uid="{00000000-0010-0000-0200-00000A000000}" name="Total de la factura" totalsRowFunction="sum" dataDxfId="23" totalsRowDxfId="22">
      <calculatedColumnFormula>(InvoicesMain[[#This Row],[Total de detalles]]*(1+InvoicesMain[[#This Row],[Tipo impositivo]]))+InvoicesMain[[#This Row],[Otros]]-InvoicesMain[[#This Row],[Depósito]]</calculatedColumnFormula>
    </tableColumn>
    <tableColumn id="5" xr3:uid="{00000000-0010-0000-0200-000005000000}" name="Notas" dataDxfId="21" totalsRowDxfId="20"/>
  </tableColumns>
  <tableStyleInfo name="Tabla de factura de ventas" showFirstColumn="0" showLastColumn="0" showRowStripes="1" showColumnStripes="0"/>
  <extLst>
    <ext xmlns:x14="http://schemas.microsoft.com/office/spreadsheetml/2009/9/main" uri="{504A1905-F514-4f6f-8877-14C23A59335A}">
      <x14:table altTextSummary="Lista de facturas con la factura nº, empresa, fecha de la factura, descripción del proyecto, tasa de impuesto, otro, depósito, total detallado, total de la factura y notas"/>
    </ext>
  </extLst>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InvoiceDetails" displayName="InvoiceDetails" ref="B3:H40" totalsRowShown="0" dataDxfId="18">
  <autoFilter ref="B3:H40" xr:uid="{00000000-0009-0000-0100-000002000000}"/>
  <sortState ref="B5:H40">
    <sortCondition ref="C4:C40"/>
  </sortState>
  <tableColumns count="7">
    <tableColumn id="2" xr3:uid="{00000000-0010-0000-0300-000002000000}" name="Descripción" dataDxfId="17"/>
    <tableColumn id="1" xr3:uid="{00000000-0010-0000-0300-000001000000}" name="N.º de factura" dataDxfId="16"/>
    <tableColumn id="4" xr3:uid="{00000000-0010-0000-0300-000004000000}" name="Artículo nº" dataDxfId="15"/>
    <tableColumn id="3" xr3:uid="{00000000-0010-0000-0300-000003000000}" name="Cant." dataDxfId="14"/>
    <tableColumn id="6" xr3:uid="{00000000-0010-0000-0300-000006000000}" name="Precio por unidad" dataDxfId="13"/>
    <tableColumn id="5" xr3:uid="{00000000-0010-0000-0300-000005000000}" name="Descuento" dataDxfId="12"/>
    <tableColumn id="10" xr3:uid="{00000000-0010-0000-0300-00000A000000}" name="Total" dataDxfId="11">
      <calculatedColumnFormula>(InvoiceDetails[[#This Row],[Cant.]]*InvoiceDetails[[#This Row],[Precio por unidad]])-InvoiceDetails[[#This Row],[Descuento]]</calculatedColumnFormula>
    </tableColumn>
  </tableColumns>
  <tableStyleInfo name="Tabla de factura de ventas" showFirstColumn="0" showLastColumn="0" showRowStripes="1" showColumnStripes="0"/>
  <extLst>
    <ext xmlns:x14="http://schemas.microsoft.com/office/spreadsheetml/2009/9/main" uri="{504A1905-F514-4f6f-8877-14C23A59335A}">
      <x14:table altTextSummary="Detalles de la factura con descripción, nº de factura, nº de artículo, cantidad, precio unitario, descuento y total"/>
    </ext>
  </extLst>
</table>
</file>

<file path=xl/theme/theme11.xml><?xml version="1.0" encoding="utf-8"?>
<a:theme xmlns:a="http://schemas.openxmlformats.org/drawingml/2006/main" name="Office Them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Sales Invoice">
      <a:majorFont>
        <a:latin typeface="Arial"/>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3.xml" Id="rId3" /><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printerSettings" Target="/xl/printerSettings/printerSettings22.bin" Id="rId3" /><Relationship Type="http://schemas.openxmlformats.org/officeDocument/2006/relationships/table" Target="/xl/tables/table22.xml" Id="rId5" /><Relationship Type="http://schemas.openxmlformats.org/officeDocument/2006/relationships/drawing" Target="/xl/drawings/drawing22.xml" Id="rId4" /><Relationship Type="http://schemas.openxmlformats.org/officeDocument/2006/relationships/hyperlink" Target="mailto:alguien@example.com" TargetMode="External" Id="rId2" /><Relationship Type="http://schemas.openxmlformats.org/officeDocument/2006/relationships/hyperlink" Target="mailto:alguien@example.com" TargetMode="External" Id="rId1" /></Relationships>
</file>

<file path=xl/worksheets/_rels/sheet31.xml.rels>&#65279;<?xml version="1.0" encoding="utf-8"?><Relationships xmlns="http://schemas.openxmlformats.org/package/2006/relationships"><Relationship Type="http://schemas.openxmlformats.org/officeDocument/2006/relationships/table" Target="/xl/tables/table31.x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s>
</file>

<file path=xl/worksheets/_rels/sheet45.xml.rels>&#65279;<?xml version="1.0" encoding="utf-8"?><Relationships xmlns="http://schemas.openxmlformats.org/package/2006/relationships"><Relationship Type="http://schemas.openxmlformats.org/officeDocument/2006/relationships/table" Target="/xl/tables/table44.xml" Id="rId3" /><Relationship Type="http://schemas.openxmlformats.org/officeDocument/2006/relationships/drawing" Target="/xl/drawings/drawing45.xml" Id="rId2" /><Relationship Type="http://schemas.openxmlformats.org/officeDocument/2006/relationships/printerSettings" Target="/xl/printerSettings/printerSettings45.bin" Id="rId1" /></Relationships>
</file>

<file path=xl/worksheets/_rels/sheet54.xml.rels>&#65279;<?xml version="1.0" encoding="utf-8"?><Relationships xmlns="http://schemas.openxmlformats.org/package/2006/relationships"><Relationship Type="http://schemas.openxmlformats.org/officeDocument/2006/relationships/drawing" Target="/xl/drawings/drawing54.xml" Id="rId3" /><Relationship Type="http://schemas.openxmlformats.org/officeDocument/2006/relationships/printerSettings" Target="/xl/printerSettings/printerSettings54.bin" Id="rId2" /><Relationship Type="http://schemas.openxmlformats.org/officeDocument/2006/relationships/hyperlink" Target="http://office.microsoft.com/client/helppreview14.aspx?AssetId=HA010354866&amp;lcid=1033&amp;NS=EXCEL&amp;Version=14&amp;tl=2&amp;respos=0&amp;CTT=1&amp;queryid=d38d00d08c94494fb55f055eb667c2c9" TargetMode="External"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tint="-0.499984740745262"/>
    <pageSetUpPr autoPageBreaks="0" fitToPage="1"/>
  </sheetPr>
  <dimension ref="A1:H39"/>
  <sheetViews>
    <sheetView showGridLines="0" tabSelected="1" zoomScaleNormal="100" workbookViewId="0">
      <selection activeCell="G4" sqref="G4"/>
    </sheetView>
  </sheetViews>
  <sheetFormatPr defaultColWidth="9" defaultRowHeight="33.950000000000003" customHeight="1" x14ac:dyDescent="0.25"/>
  <cols>
    <col min="1" max="1" width="2.85546875" style="34" customWidth="1"/>
    <col min="2" max="2" width="14.28515625" style="2" customWidth="1"/>
    <col min="3" max="3" width="30.5703125" style="2" customWidth="1"/>
    <col min="4" max="7" width="23.7109375" style="2" customWidth="1"/>
    <col min="8" max="8" width="2.85546875" style="2" customWidth="1"/>
    <col min="9" max="9" width="11.28515625" style="2" customWidth="1"/>
    <col min="10" max="16384" width="9" style="2"/>
  </cols>
  <sheetData>
    <row r="1" spans="1:8" ht="57.95" customHeight="1" thickBot="1" x14ac:dyDescent="0.3">
      <c r="A1" s="31"/>
      <c r="B1" s="47" t="s">
        <v>153</v>
      </c>
      <c r="C1" s="18"/>
      <c r="D1" s="18"/>
      <c r="E1" s="18"/>
      <c r="F1" s="16"/>
      <c r="G1" s="17"/>
      <c r="H1" s="17"/>
    </row>
    <row r="2" spans="1:8" ht="24" customHeight="1" thickTop="1" x14ac:dyDescent="0.25">
      <c r="A2" s="32"/>
      <c r="B2" s="62" t="s">
        <v>1</v>
      </c>
      <c r="C2" s="62"/>
      <c r="D2" s="62" t="s">
        <v>8</v>
      </c>
      <c r="E2" s="62"/>
      <c r="F2" s="62" t="s">
        <v>12</v>
      </c>
      <c r="G2" s="62"/>
      <c r="H2" s="19"/>
    </row>
    <row r="3" spans="1:8" ht="24" customHeight="1" x14ac:dyDescent="0.25">
      <c r="A3" s="32"/>
      <c r="B3" s="63" t="s">
        <v>2</v>
      </c>
      <c r="C3" s="63"/>
      <c r="D3" s="63" t="s">
        <v>9</v>
      </c>
      <c r="E3" s="63"/>
      <c r="F3" s="63" t="s">
        <v>13</v>
      </c>
      <c r="G3" s="63"/>
      <c r="H3" s="19"/>
    </row>
    <row r="4" spans="1:8" s="14" customFormat="1" ht="24" customHeight="1" x14ac:dyDescent="0.25">
      <c r="A4" s="33"/>
      <c r="B4" s="37" t="s">
        <v>3</v>
      </c>
      <c r="C4" s="38" t="str">
        <f>IFERROR(VLOOKUP(VLOOKUP(rngInvoice,InvoicesMain[],2,FALSE),CustomerList[],3,TRUE),"")</f>
        <v>Contoso, Ltd</v>
      </c>
      <c r="D4" s="68" t="str">
        <f>"Teléfono: "&amp;IFERROR(VLOOKUP(VLOOKUP(rngInvoice,InvoicesMain[],2,FALSE),CustomerList[],9,FALSE),"")</f>
        <v>Teléfono: 432-555-0189</v>
      </c>
      <c r="E4" s="68"/>
      <c r="F4" s="37" t="s">
        <v>14</v>
      </c>
      <c r="G4" s="35" t="s">
        <v>23</v>
      </c>
    </row>
    <row r="5" spans="1:8" s="14" customFormat="1" ht="20.100000000000001" customHeight="1" x14ac:dyDescent="0.25">
      <c r="A5" s="33"/>
      <c r="B5" s="37" t="s">
        <v>4</v>
      </c>
      <c r="C5" s="38" t="str">
        <f>IFERROR(IF((VLOOKUP(VLOOKUP(rngInvoice,InvoicesMain[],2,FALSE),CustomerList[],5,FALSE))="","",(VLOOKUP(VLOOKUP(rngInvoice,InvoicesMain[],2,FALSE),CustomerList[],5,FALSE))),"")</f>
        <v>567 Walnut Lane</v>
      </c>
      <c r="D5" s="68" t="str">
        <f>"Fax:     "&amp;IFERROR(VLOOKUP(VLOOKUP(rngInvoice,InvoicesMain[],2,FALSE),CustomerList[],11,FALSE),"")</f>
        <v>Fax:     432-555-0123</v>
      </c>
      <c r="E5" s="68"/>
      <c r="F5" s="37" t="s">
        <v>15</v>
      </c>
      <c r="G5" s="36">
        <f ca="1">IFERROR(IF(VLOOKUP(rngInvoice,InvoicesMain[],3,FALSE)="","",VLOOKUP(rngInvoice,InvoicesMain[],3,FALSE)),"")</f>
        <v>43685</v>
      </c>
    </row>
    <row r="6" spans="1:8" s="14" customFormat="1" ht="20.100000000000001" customHeight="1" x14ac:dyDescent="0.25">
      <c r="A6" s="33"/>
      <c r="B6" s="39"/>
      <c r="C6" s="38" t="str">
        <f>IFERROR(VLOOKUP(VLOOKUP(rngInvoice,InvoicesMain[],2,FALSE),CustomerList[],6,FALSE)&amp;", "&amp; VLOOKUP(VLOOKUP(G4,InvoicesMain[],2,FALSE),CustomerList[],7,FALSE)&amp;" "&amp;VLOOKUP(VLOOKUP(G4,InvoicesMain[],2,FALSE),CustomerList[],8,FALSE),"")</f>
        <v>Moline, MO 098765</v>
      </c>
      <c r="D6" s="68" t="str">
        <f>"Correo electrónico: "&amp;IFERROR(VLOOKUP(VLOOKUP(rngInvoice,InvoicesMain[],2,FALSE),CustomerList[],10,FALSE),"")</f>
        <v>Correo electrónico: alguien@example.com</v>
      </c>
      <c r="E6" s="68"/>
      <c r="F6" s="38"/>
      <c r="G6" s="15"/>
    </row>
    <row r="7" spans="1:8" ht="44.1" customHeight="1" x14ac:dyDescent="0.25">
      <c r="B7" s="49" t="str">
        <f>"Factura para: "&amp;IFERROR(VLOOKUP(rngInvoice,InvoicesMain[],4),"")</f>
        <v>Factura para: Proyecto 2</v>
      </c>
      <c r="C7" s="50"/>
      <c r="D7" s="50"/>
      <c r="E7" s="50"/>
      <c r="F7" s="50"/>
      <c r="G7" s="50"/>
    </row>
    <row r="8" spans="1:8" s="3" customFormat="1" ht="33.950000000000003" customHeight="1" x14ac:dyDescent="0.25">
      <c r="B8" s="29" t="s">
        <v>5</v>
      </c>
      <c r="C8" s="29" t="s">
        <v>7</v>
      </c>
      <c r="D8" s="29" t="s">
        <v>10</v>
      </c>
      <c r="E8" s="29" t="s">
        <v>11</v>
      </c>
      <c r="F8" s="29" t="s">
        <v>16</v>
      </c>
      <c r="G8" s="29" t="s">
        <v>24</v>
      </c>
    </row>
    <row r="9" spans="1:8" s="3" customFormat="1" ht="33.950000000000003" customHeight="1" x14ac:dyDescent="0.25">
      <c r="B9" s="45" t="str">
        <f t="array" ref="B9">IFERROR(INDEX(InvoiceDetails[],SMALL(IF(InvoiceDetails[N.º de factura]=rngInvoice,ROW(InvoiceDetails[])-ROW(InvoiceDetails[#Headers])), ROW(1:1)), MATCH($B$8, InvoiceDetails[#Headers], 0)),"")</f>
        <v>Z4567</v>
      </c>
      <c r="C9" s="45" t="str">
        <f t="array" ref="C9">IFERROR(INDEX(InvoiceDetails[],SMALL(IF(InvoiceDetails[N.º de factura]=rngInvoice,ROW(InvoiceDetails[])-ROW(InvoiceDetails[#Headers])), ROW(1:1)), MATCH($C$8, InvoiceDetails[#Headers], 0)),"")</f>
        <v>Factura 3-456-2 Datos 1</v>
      </c>
      <c r="D9" s="46">
        <f t="array" ref="D9">IFERROR(INDEX(InvoiceDetails[],SMALL(IF(InvoiceDetails[N.º de factura]=rngInvoice,ROW(InvoiceDetails[])-ROW(InvoiceDetails[#Headers])), ROW(1:1)), MATCH($D$8, InvoiceDetails[#Headers], 0)),"")</f>
        <v>39</v>
      </c>
      <c r="E9" s="52">
        <f t="array" ref="E9">IFERROR(INDEX(InvoiceDetails[],SMALL(IF(InvoiceDetails[N.º de factura]=rngInvoice,ROW(InvoiceDetails[])-ROW(InvoiceDetails[#Headers])), ROW(1:1)), MATCH($E$8, InvoiceDetails[#Headers], 0)),"")</f>
        <v>5</v>
      </c>
      <c r="F9" s="52">
        <f t="array" ref="F9">IFERROR(INDEX(InvoiceDetails[],SMALL(IF(InvoiceDetails[N.º de factura]=rngInvoice,ROW(InvoiceDetails[])-ROW(InvoiceDetails[#Headers])), ROW(1:1)), MATCH($F$8, InvoiceDetails[#Headers], 0)),"")</f>
        <v>0</v>
      </c>
      <c r="G9" s="53">
        <f t="shared" ref="G9:G33" si="0">IFERROR((D9*E9)-F9,"")</f>
        <v>195</v>
      </c>
    </row>
    <row r="10" spans="1:8" s="3" customFormat="1" ht="33.950000000000003" customHeight="1" x14ac:dyDescent="0.25">
      <c r="B10" s="45" t="str">
        <f t="array" ref="B10">IFERROR(INDEX(InvoiceDetails[],SMALL(IF(InvoiceDetails[N.º de factura]=rngInvoice,ROW(InvoiceDetails[])-ROW(InvoiceDetails[#Headers])), ROW(2:2)), MATCH($B$8, InvoiceDetails[#Headers], 0)),"")</f>
        <v>Z4568</v>
      </c>
      <c r="C10" s="45" t="str">
        <f t="array" ref="C10">IFERROR(INDEX(InvoiceDetails[],SMALL(IF(InvoiceDetails[N.º de factura]=rngInvoice,ROW(InvoiceDetails[])-ROW(InvoiceDetails[#Headers])), ROW(2:2)), MATCH($C$8, InvoiceDetails[#Headers], 0)),"")</f>
        <v>Factura 3-456-2 Datos 2</v>
      </c>
      <c r="D10" s="46">
        <f t="array" ref="D10">IFERROR(INDEX(InvoiceDetails[],SMALL(IF(InvoiceDetails[N.º de factura]=rngInvoice,ROW(InvoiceDetails[])-ROW(InvoiceDetails[#Headers])), ROW(2:2)), MATCH($D$8, InvoiceDetails[#Headers], 0)),"")</f>
        <v>40</v>
      </c>
      <c r="E10" s="52">
        <f t="array" ref="E10">IFERROR(INDEX(InvoiceDetails[],SMALL(IF(InvoiceDetails[N.º de factura]=rngInvoice,ROW(InvoiceDetails[])-ROW(InvoiceDetails[#Headers])), ROW(2:2)), MATCH($E$8, InvoiceDetails[#Headers], 0)),"")</f>
        <v>4</v>
      </c>
      <c r="F10" s="52">
        <f t="array" ref="F10">IFERROR(INDEX(InvoiceDetails[],SMALL(IF(InvoiceDetails[N.º de factura]=rngInvoice,ROW(InvoiceDetails[])-ROW(InvoiceDetails[#Headers])), ROW(2:2)), MATCH($F$8, InvoiceDetails[#Headers], 0)),"")</f>
        <v>5</v>
      </c>
      <c r="G10" s="53">
        <f t="shared" si="0"/>
        <v>155</v>
      </c>
    </row>
    <row r="11" spans="1:8" s="3" customFormat="1" ht="33.950000000000003" customHeight="1" x14ac:dyDescent="0.25">
      <c r="B11" s="45" t="str">
        <f t="array" ref="B11">IFERROR(INDEX(InvoiceDetails[],SMALL(IF(InvoiceDetails[N.º de factura]=rngInvoice,ROW(InvoiceDetails[])-ROW(InvoiceDetails[#Headers])), ROW(3:3)), MATCH($B$8, InvoiceDetails[#Headers], 0)),"")</f>
        <v>Z4569</v>
      </c>
      <c r="C11" s="45" t="str">
        <f t="array" ref="C11">IFERROR(INDEX(InvoiceDetails[],SMALL(IF(InvoiceDetails[N.º de factura]=rngInvoice,ROW(InvoiceDetails[])-ROW(InvoiceDetails[#Headers])), ROW(3:3)), MATCH($C$8, InvoiceDetails[#Headers], 0)),"")</f>
        <v>Factura 3-456-2 Datos 3</v>
      </c>
      <c r="D11" s="46">
        <f t="array" ref="D11">IFERROR(INDEX(InvoiceDetails[],SMALL(IF(InvoiceDetails[N.º de factura]=rngInvoice,ROW(InvoiceDetails[])-ROW(InvoiceDetails[#Headers])), ROW(3:3)), MATCH($D$8, InvoiceDetails[#Headers], 0)),"")</f>
        <v>30</v>
      </c>
      <c r="E11" s="52">
        <f t="array" ref="E11">IFERROR(INDEX(InvoiceDetails[],SMALL(IF(InvoiceDetails[N.º de factura]=rngInvoice,ROW(InvoiceDetails[])-ROW(InvoiceDetails[#Headers])), ROW(3:3)), MATCH($E$8, InvoiceDetails[#Headers], 0)),"")</f>
        <v>6</v>
      </c>
      <c r="F11" s="52">
        <f t="array" ref="F11">IFERROR(INDEX(InvoiceDetails[],SMALL(IF(InvoiceDetails[N.º de factura]=rngInvoice,ROW(InvoiceDetails[])-ROW(InvoiceDetails[#Headers])), ROW(3:3)), MATCH($F$8, InvoiceDetails[#Headers], 0)),"")</f>
        <v>7</v>
      </c>
      <c r="G11" s="53">
        <f t="shared" si="0"/>
        <v>173</v>
      </c>
    </row>
    <row r="12" spans="1:8" s="3" customFormat="1" ht="33.950000000000003" customHeight="1" x14ac:dyDescent="0.25">
      <c r="B12" s="45" t="str">
        <f t="array" ref="B12">IFERROR(INDEX(InvoiceDetails[],SMALL(IF(InvoiceDetails[N.º de factura]=rngInvoice,ROW(InvoiceDetails[])-ROW(InvoiceDetails[#Headers])), ROW(4:4)), MATCH($B$8, InvoiceDetails[#Headers], 0)),"")</f>
        <v>Z4570</v>
      </c>
      <c r="C12" s="45" t="str">
        <f t="array" ref="C12">IFERROR(INDEX(InvoiceDetails[],SMALL(IF(InvoiceDetails[N.º de factura]=rngInvoice,ROW(InvoiceDetails[])-ROW(InvoiceDetails[#Headers])), ROW(4:4)), MATCH($C$8, InvoiceDetails[#Headers], 0)),"")</f>
        <v>Factura 3-456-2 Datos 4</v>
      </c>
      <c r="D12" s="46">
        <f t="array" ref="D12">IFERROR(INDEX(InvoiceDetails[],SMALL(IF(InvoiceDetails[N.º de factura]=rngInvoice,ROW(InvoiceDetails[])-ROW(InvoiceDetails[#Headers])), ROW(4:4)), MATCH($D$8, InvoiceDetails[#Headers], 0)),"")</f>
        <v>40</v>
      </c>
      <c r="E12" s="52">
        <f t="array" ref="E12">IFERROR(INDEX(InvoiceDetails[],SMALL(IF(InvoiceDetails[N.º de factura]=rngInvoice,ROW(InvoiceDetails[])-ROW(InvoiceDetails[#Headers])), ROW(4:4)), MATCH($E$8, InvoiceDetails[#Headers], 0)),"")</f>
        <v>7</v>
      </c>
      <c r="F12" s="52">
        <f t="array" ref="F12">IFERROR(INDEX(InvoiceDetails[],SMALL(IF(InvoiceDetails[N.º de factura]=rngInvoice,ROW(InvoiceDetails[])-ROW(InvoiceDetails[#Headers])), ROW(4:4)), MATCH($F$8, InvoiceDetails[#Headers], 0)),"")</f>
        <v>0</v>
      </c>
      <c r="G12" s="53">
        <f t="shared" si="0"/>
        <v>280</v>
      </c>
    </row>
    <row r="13" spans="1:8" s="3" customFormat="1" ht="33.950000000000003" customHeight="1" x14ac:dyDescent="0.25">
      <c r="B13" s="45" t="str">
        <f t="array" ref="B13">IFERROR(INDEX(InvoiceDetails[],SMALL(IF(InvoiceDetails[N.º de factura]=rngInvoice,ROW(InvoiceDetails[])-ROW(InvoiceDetails[#Headers])), ROW(5:5)), MATCH($B$8, InvoiceDetails[#Headers], 0)),"")</f>
        <v>Z4571</v>
      </c>
      <c r="C13" s="45" t="str">
        <f t="array" ref="C13">IFERROR(INDEX(InvoiceDetails[],SMALL(IF(InvoiceDetails[N.º de factura]=rngInvoice,ROW(InvoiceDetails[])-ROW(InvoiceDetails[#Headers])), ROW(5:5)), MATCH($C$8, InvoiceDetails[#Headers], 0)),"")</f>
        <v>Factura 3-456-2 Datos 5</v>
      </c>
      <c r="D13" s="46">
        <f t="array" ref="D13">IFERROR(INDEX(InvoiceDetails[],SMALL(IF(InvoiceDetails[N.º de factura]=rngInvoice,ROW(InvoiceDetails[])-ROW(InvoiceDetails[#Headers])), ROW(5:5)), MATCH($D$8, InvoiceDetails[#Headers], 0)),"")</f>
        <v>10</v>
      </c>
      <c r="E13" s="52">
        <f t="array" ref="E13">IFERROR(INDEX(InvoiceDetails[],SMALL(IF(InvoiceDetails[N.º de factura]=rngInvoice,ROW(InvoiceDetails[])-ROW(InvoiceDetails[#Headers])), ROW(5:5)), MATCH($E$8, InvoiceDetails[#Headers], 0)),"")</f>
        <v>4</v>
      </c>
      <c r="F13" s="52">
        <f t="array" ref="F13">IFERROR(INDEX(InvoiceDetails[],SMALL(IF(InvoiceDetails[N.º de factura]=rngInvoice,ROW(InvoiceDetails[])-ROW(InvoiceDetails[#Headers])), ROW(5:5)), MATCH($F$8, InvoiceDetails[#Headers], 0)),"")</f>
        <v>0</v>
      </c>
      <c r="G13" s="53">
        <f t="shared" si="0"/>
        <v>40</v>
      </c>
    </row>
    <row r="14" spans="1:8" s="3" customFormat="1" ht="33.950000000000003" customHeight="1" x14ac:dyDescent="0.25">
      <c r="B14" s="45" t="str">
        <f t="array" ref="B14">IFERROR(INDEX(InvoiceDetails[],SMALL(IF(InvoiceDetails[N.º de factura]=rngInvoice,ROW(InvoiceDetails[])-ROW(InvoiceDetails[#Headers])), ROW(6:6)), MATCH($B$8, InvoiceDetails[#Headers], 0)),"")</f>
        <v>Z4572</v>
      </c>
      <c r="C14" s="45" t="str">
        <f t="array" ref="C14">IFERROR(INDEX(InvoiceDetails[],SMALL(IF(InvoiceDetails[N.º de factura]=rngInvoice,ROW(InvoiceDetails[])-ROW(InvoiceDetails[#Headers])), ROW(6:6)), MATCH($C$8, InvoiceDetails[#Headers], 0)),"")</f>
        <v>Factura 3-456-2 Datos 6</v>
      </c>
      <c r="D14" s="46">
        <f t="array" ref="D14">IFERROR(INDEX(InvoiceDetails[],SMALL(IF(InvoiceDetails[N.º de factura]=rngInvoice,ROW(InvoiceDetails[])-ROW(InvoiceDetails[#Headers])), ROW(6:6)), MATCH($D$8, InvoiceDetails[#Headers], 0)),"")</f>
        <v>5</v>
      </c>
      <c r="E14" s="52">
        <f t="array" ref="E14">IFERROR(INDEX(InvoiceDetails[],SMALL(IF(InvoiceDetails[N.º de factura]=rngInvoice,ROW(InvoiceDetails[])-ROW(InvoiceDetails[#Headers])), ROW(6:6)), MATCH($E$8, InvoiceDetails[#Headers], 0)),"")</f>
        <v>8</v>
      </c>
      <c r="F14" s="52">
        <f t="array" ref="F14">IFERROR(INDEX(InvoiceDetails[],SMALL(IF(InvoiceDetails[N.º de factura]=rngInvoice,ROW(InvoiceDetails[])-ROW(InvoiceDetails[#Headers])), ROW(6:6)), MATCH($F$8, InvoiceDetails[#Headers], 0)),"")</f>
        <v>0</v>
      </c>
      <c r="G14" s="53">
        <f t="shared" si="0"/>
        <v>40</v>
      </c>
    </row>
    <row r="15" spans="1:8" s="3" customFormat="1" ht="33.950000000000003" customHeight="1" x14ac:dyDescent="0.25">
      <c r="B15" s="45" t="str">
        <f t="array" ref="B15">IFERROR(INDEX(InvoiceDetails[],SMALL(IF(InvoiceDetails[N.º de factura]=rngInvoice,ROW(InvoiceDetails[])-ROW(InvoiceDetails[#Headers])), ROW(7:7)), MATCH($B$8, InvoiceDetails[#Headers], 0)),"")</f>
        <v>Z4573</v>
      </c>
      <c r="C15" s="45" t="str">
        <f t="array" ref="C15">IFERROR(INDEX(InvoiceDetails[],SMALL(IF(InvoiceDetails[N.º de factura]=rngInvoice,ROW(InvoiceDetails[])-ROW(InvoiceDetails[#Headers])), ROW(7:7)), MATCH($C$8, InvoiceDetails[#Headers], 0)),"")</f>
        <v>Factura 3-456-2 Datos 7</v>
      </c>
      <c r="D15" s="46">
        <f t="array" ref="D15">IFERROR(INDEX(InvoiceDetails[],SMALL(IF(InvoiceDetails[N.º de factura]=rngInvoice,ROW(InvoiceDetails[])-ROW(InvoiceDetails[#Headers])), ROW(7:7)), MATCH($D$8, InvoiceDetails[#Headers], 0)),"")</f>
        <v>70</v>
      </c>
      <c r="E15" s="52">
        <f t="array" ref="E15">IFERROR(INDEX(InvoiceDetails[],SMALL(IF(InvoiceDetails[N.º de factura]=rngInvoice,ROW(InvoiceDetails[])-ROW(InvoiceDetails[#Headers])), ROW(7:7)), MATCH($E$8, InvoiceDetails[#Headers], 0)),"")</f>
        <v>6</v>
      </c>
      <c r="F15" s="52">
        <f t="array" ref="F15">IFERROR(INDEX(InvoiceDetails[],SMALL(IF(InvoiceDetails[N.º de factura]=rngInvoice,ROW(InvoiceDetails[])-ROW(InvoiceDetails[#Headers])), ROW(7:7)), MATCH($F$8, InvoiceDetails[#Headers], 0)),"")</f>
        <v>0</v>
      </c>
      <c r="G15" s="53">
        <f t="shared" si="0"/>
        <v>420</v>
      </c>
    </row>
    <row r="16" spans="1:8" s="3" customFormat="1" ht="33.950000000000003" customHeight="1" x14ac:dyDescent="0.25">
      <c r="B16" s="45" t="str">
        <f t="array" ref="B16">IFERROR(INDEX(InvoiceDetails[],SMALL(IF(InvoiceDetails[N.º de factura]=rngInvoice,ROW(InvoiceDetails[])-ROW(InvoiceDetails[#Headers])), ROW(8:8)), MATCH($B$8, InvoiceDetails[#Headers], 0)),"")</f>
        <v>Z4574</v>
      </c>
      <c r="C16" s="45" t="str">
        <f t="array" ref="C16">IFERROR(INDEX(InvoiceDetails[],SMALL(IF(InvoiceDetails[N.º de factura]=rngInvoice,ROW(InvoiceDetails[])-ROW(InvoiceDetails[#Headers])), ROW(8:8)), MATCH($C$8, InvoiceDetails[#Headers], 0)),"")</f>
        <v>Factura 3-456-2 Datos 8</v>
      </c>
      <c r="D16" s="46">
        <f t="array" ref="D16">IFERROR(INDEX(InvoiceDetails[],SMALL(IF(InvoiceDetails[N.º de factura]=rngInvoice,ROW(InvoiceDetails[])-ROW(InvoiceDetails[#Headers])), ROW(8:8)), MATCH($D$8, InvoiceDetails[#Headers], 0)),"")</f>
        <v>25</v>
      </c>
      <c r="E16" s="52">
        <f t="array" ref="E16">IFERROR(INDEX(InvoiceDetails[],SMALL(IF(InvoiceDetails[N.º de factura]=rngInvoice,ROW(InvoiceDetails[])-ROW(InvoiceDetails[#Headers])), ROW(8:8)), MATCH($E$8, InvoiceDetails[#Headers], 0)),"")</f>
        <v>4</v>
      </c>
      <c r="F16" s="52">
        <f t="array" ref="F16">IFERROR(INDEX(InvoiceDetails[],SMALL(IF(InvoiceDetails[N.º de factura]=rngInvoice,ROW(InvoiceDetails[])-ROW(InvoiceDetails[#Headers])), ROW(8:8)), MATCH($F$8, InvoiceDetails[#Headers], 0)),"")</f>
        <v>0</v>
      </c>
      <c r="G16" s="53">
        <f t="shared" si="0"/>
        <v>100</v>
      </c>
    </row>
    <row r="17" spans="2:7" s="3" customFormat="1" ht="33.950000000000003" customHeight="1" x14ac:dyDescent="0.25">
      <c r="B17" s="45" t="str">
        <f t="array" ref="B17">IFERROR(INDEX(InvoiceDetails[],SMALL(IF(InvoiceDetails[N.º de factura]=rngInvoice,ROW(InvoiceDetails[])-ROW(InvoiceDetails[#Headers])), ROW(9:9)), MATCH($B$8, InvoiceDetails[#Headers], 0)),"")</f>
        <v>Z4575</v>
      </c>
      <c r="C17" s="45" t="str">
        <f t="array" ref="C17">IFERROR(INDEX(InvoiceDetails[],SMALL(IF(InvoiceDetails[N.º de factura]=rngInvoice,ROW(InvoiceDetails[])-ROW(InvoiceDetails[#Headers])), ROW(9:9)), MATCH($C$8, InvoiceDetails[#Headers], 0)),"")</f>
        <v>Factura 3-456-2 Datos 9</v>
      </c>
      <c r="D17" s="46">
        <f t="array" ref="D17">IFERROR(INDEX(InvoiceDetails[],SMALL(IF(InvoiceDetails[N.º de factura]=rngInvoice,ROW(InvoiceDetails[])-ROW(InvoiceDetails[#Headers])), ROW(9:9)), MATCH($D$8, InvoiceDetails[#Headers], 0)),"")</f>
        <v>5</v>
      </c>
      <c r="E17" s="52">
        <f t="array" ref="E17">IFERROR(INDEX(InvoiceDetails[],SMALL(IF(InvoiceDetails[N.º de factura]=rngInvoice,ROW(InvoiceDetails[])-ROW(InvoiceDetails[#Headers])), ROW(9:9)), MATCH($E$8, InvoiceDetails[#Headers], 0)),"")</f>
        <v>7</v>
      </c>
      <c r="F17" s="52">
        <f t="array" ref="F17">IFERROR(INDEX(InvoiceDetails[],SMALL(IF(InvoiceDetails[N.º de factura]=rngInvoice,ROW(InvoiceDetails[])-ROW(InvoiceDetails[#Headers])), ROW(9:9)), MATCH($F$8, InvoiceDetails[#Headers], 0)),"")</f>
        <v>3</v>
      </c>
      <c r="G17" s="53">
        <f t="shared" si="0"/>
        <v>32</v>
      </c>
    </row>
    <row r="18" spans="2:7" s="3" customFormat="1" ht="33.950000000000003" customHeight="1" x14ac:dyDescent="0.25">
      <c r="B18" s="45" t="str">
        <f t="array" ref="B18">IFERROR(INDEX(InvoiceDetails[],SMALL(IF(InvoiceDetails[N.º de factura]=rngInvoice,ROW(InvoiceDetails[])-ROW(InvoiceDetails[#Headers])), ROW(10:10)), MATCH($B$8, InvoiceDetails[#Headers], 0)),"")</f>
        <v>Z4576</v>
      </c>
      <c r="C18" s="45" t="str">
        <f t="array" ref="C18">IFERROR(INDEX(InvoiceDetails[],SMALL(IF(InvoiceDetails[N.º de factura]=rngInvoice,ROW(InvoiceDetails[])-ROW(InvoiceDetails[#Headers])), ROW(10:10)), MATCH($C$8, InvoiceDetails[#Headers], 0)),"")</f>
        <v>Factura 3-456-2 Datos 10</v>
      </c>
      <c r="D18" s="46">
        <f t="array" ref="D18">IFERROR(INDEX(InvoiceDetails[],SMALL(IF(InvoiceDetails[N.º de factura]=rngInvoice,ROW(InvoiceDetails[])-ROW(InvoiceDetails[#Headers])), ROW(10:10)), MATCH($D$8, InvoiceDetails[#Headers], 0)),"")</f>
        <v>80</v>
      </c>
      <c r="E18" s="52">
        <f t="array" ref="E18">IFERROR(INDEX(InvoiceDetails[],SMALL(IF(InvoiceDetails[N.º de factura]=rngInvoice,ROW(InvoiceDetails[])-ROW(InvoiceDetails[#Headers])), ROW(10:10)), MATCH($E$8, InvoiceDetails[#Headers], 0)),"")</f>
        <v>1</v>
      </c>
      <c r="F18" s="52">
        <f t="array" ref="F18">IFERROR(INDEX(InvoiceDetails[],SMALL(IF(InvoiceDetails[N.º de factura]=rngInvoice,ROW(InvoiceDetails[])-ROW(InvoiceDetails[#Headers])), ROW(10:10)), MATCH($F$8, InvoiceDetails[#Headers], 0)),"")</f>
        <v>0</v>
      </c>
      <c r="G18" s="53">
        <f t="shared" si="0"/>
        <v>80</v>
      </c>
    </row>
    <row r="19" spans="2:7" s="3" customFormat="1" ht="33.950000000000003" customHeight="1" x14ac:dyDescent="0.25">
      <c r="B19" s="45" t="str">
        <f t="array" ref="B19">IFERROR(INDEX(InvoiceDetails[],SMALL(IF(InvoiceDetails[N.º de factura]=rngInvoice,ROW(InvoiceDetails[])-ROW(InvoiceDetails[#Headers])), ROW(11:11)), MATCH($B$8, InvoiceDetails[#Headers], 0)),"")</f>
        <v>Z4577</v>
      </c>
      <c r="C19" s="45" t="str">
        <f t="array" ref="C19">IFERROR(INDEX(InvoiceDetails[],SMALL(IF(InvoiceDetails[N.º de factura]=rngInvoice,ROW(InvoiceDetails[])-ROW(InvoiceDetails[#Headers])), ROW(11:11)), MATCH($C$8, InvoiceDetails[#Headers], 0)),"")</f>
        <v>Factura 3-456-2 Datos 11</v>
      </c>
      <c r="D19" s="46">
        <f t="array" ref="D19">IFERROR(INDEX(InvoiceDetails[],SMALL(IF(InvoiceDetails[N.º de factura]=rngInvoice,ROW(InvoiceDetails[])-ROW(InvoiceDetails[#Headers])), ROW(11:11)), MATCH($D$8, InvoiceDetails[#Headers], 0)),"")</f>
        <v>65</v>
      </c>
      <c r="E19" s="52">
        <f t="array" ref="E19">IFERROR(INDEX(InvoiceDetails[],SMALL(IF(InvoiceDetails[N.º de factura]=rngInvoice,ROW(InvoiceDetails[])-ROW(InvoiceDetails[#Headers])), ROW(11:11)), MATCH($E$8, InvoiceDetails[#Headers], 0)),"")</f>
        <v>7</v>
      </c>
      <c r="F19" s="52">
        <f t="array" ref="F19">IFERROR(INDEX(InvoiceDetails[],SMALL(IF(InvoiceDetails[N.º de factura]=rngInvoice,ROW(InvoiceDetails[])-ROW(InvoiceDetails[#Headers])), ROW(11:11)), MATCH($F$8, InvoiceDetails[#Headers], 0)),"")</f>
        <v>0</v>
      </c>
      <c r="G19" s="53">
        <f t="shared" si="0"/>
        <v>455</v>
      </c>
    </row>
    <row r="20" spans="2:7" s="3" customFormat="1" ht="33.950000000000003" customHeight="1" x14ac:dyDescent="0.25">
      <c r="B20" s="45" t="str">
        <f t="array" ref="B20">IFERROR(INDEX(InvoiceDetails[],SMALL(IF(InvoiceDetails[N.º de factura]=rngInvoice,ROW(InvoiceDetails[])-ROW(InvoiceDetails[#Headers])), ROW(12:12)), MATCH($B$8, InvoiceDetails[#Headers], 0)),"")</f>
        <v>Z4578</v>
      </c>
      <c r="C20" s="45" t="str">
        <f t="array" ref="C20">IFERROR(INDEX(InvoiceDetails[],SMALL(IF(InvoiceDetails[N.º de factura]=rngInvoice,ROW(InvoiceDetails[])-ROW(InvoiceDetails[#Headers])), ROW(12:12)), MATCH($C$8, InvoiceDetails[#Headers], 0)),"")</f>
        <v>Factura 3-456-2 Datos 12</v>
      </c>
      <c r="D20" s="46">
        <f t="array" ref="D20">IFERROR(INDEX(InvoiceDetails[],SMALL(IF(InvoiceDetails[N.º de factura]=rngInvoice,ROW(InvoiceDetails[])-ROW(InvoiceDetails[#Headers])), ROW(12:12)), MATCH($D$8, InvoiceDetails[#Headers], 0)),"")</f>
        <v>44</v>
      </c>
      <c r="E20" s="52">
        <f t="array" ref="E20">IFERROR(INDEX(InvoiceDetails[],SMALL(IF(InvoiceDetails[N.º de factura]=rngInvoice,ROW(InvoiceDetails[])-ROW(InvoiceDetails[#Headers])), ROW(12:12)), MATCH($E$8, InvoiceDetails[#Headers], 0)),"")</f>
        <v>1</v>
      </c>
      <c r="F20" s="52">
        <f t="array" ref="F20">IFERROR(INDEX(InvoiceDetails[],SMALL(IF(InvoiceDetails[N.º de factura]=rngInvoice,ROW(InvoiceDetails[])-ROW(InvoiceDetails[#Headers])), ROW(12:12)), MATCH($F$8, InvoiceDetails[#Headers], 0)),"")</f>
        <v>0</v>
      </c>
      <c r="G20" s="53">
        <f t="shared" si="0"/>
        <v>44</v>
      </c>
    </row>
    <row r="21" spans="2:7" s="3" customFormat="1" ht="33.950000000000003" customHeight="1" x14ac:dyDescent="0.25">
      <c r="B21" s="45" t="str">
        <f t="array" ref="B21">IFERROR(INDEX(InvoiceDetails[],SMALL(IF(InvoiceDetails[N.º de factura]=rngInvoice,ROW(InvoiceDetails[])-ROW(InvoiceDetails[#Headers])), ROW(13:13)), MATCH($B$8, InvoiceDetails[#Headers], 0)),"")</f>
        <v/>
      </c>
      <c r="C21" s="45" t="str">
        <f t="array" ref="C21">IFERROR(INDEX(InvoiceDetails[],SMALL(IF(InvoiceDetails[N.º de factura]=rngInvoice,ROW(InvoiceDetails[])-ROW(InvoiceDetails[#Headers])), ROW(13:13)), MATCH($C$8, InvoiceDetails[#Headers], 0)),"")</f>
        <v/>
      </c>
      <c r="D21" s="46" t="str">
        <f t="array" ref="D21">IFERROR(INDEX(InvoiceDetails[],SMALL(IF(InvoiceDetails[N.º de factura]=rngInvoice,ROW(InvoiceDetails[])-ROW(InvoiceDetails[#Headers])), ROW(13:13)), MATCH($D$8, InvoiceDetails[#Headers], 0)),"")</f>
        <v/>
      </c>
      <c r="E21" s="52" t="str">
        <f t="array" ref="E21">IFERROR(INDEX(InvoiceDetails[],SMALL(IF(InvoiceDetails[N.º de factura]=rngInvoice,ROW(InvoiceDetails[])-ROW(InvoiceDetails[#Headers])), ROW(13:13)), MATCH($E$8, InvoiceDetails[#Headers], 0)),"")</f>
        <v/>
      </c>
      <c r="F21" s="52" t="str">
        <f t="array" ref="F21">IFERROR(INDEX(InvoiceDetails[],SMALL(IF(InvoiceDetails[N.º de factura]=rngInvoice,ROW(InvoiceDetails[])-ROW(InvoiceDetails[#Headers])), ROW(13:13)), MATCH($F$8, InvoiceDetails[#Headers], 0)),"")</f>
        <v/>
      </c>
      <c r="G21" s="53" t="str">
        <f t="shared" si="0"/>
        <v/>
      </c>
    </row>
    <row r="22" spans="2:7" s="3" customFormat="1" ht="33.950000000000003" customHeight="1" x14ac:dyDescent="0.25">
      <c r="B22" s="45" t="str">
        <f t="array" ref="B22">IFERROR(INDEX(InvoiceDetails[],SMALL(IF(InvoiceDetails[N.º de factura]=rngInvoice,ROW(InvoiceDetails[])-ROW(InvoiceDetails[#Headers])), ROW(14:14)), MATCH($B$8, InvoiceDetails[#Headers], 0)),"")</f>
        <v/>
      </c>
      <c r="C22" s="45" t="str">
        <f t="array" ref="C22">IFERROR(INDEX(InvoiceDetails[],SMALL(IF(InvoiceDetails[N.º de factura]=rngInvoice,ROW(InvoiceDetails[])-ROW(InvoiceDetails[#Headers])), ROW(14:14)), MATCH($C$8, InvoiceDetails[#Headers], 0)),"")</f>
        <v/>
      </c>
      <c r="D22" s="46" t="str">
        <f t="array" ref="D22">IFERROR(INDEX(InvoiceDetails[],SMALL(IF(InvoiceDetails[N.º de factura]=rngInvoice,ROW(InvoiceDetails[])-ROW(InvoiceDetails[#Headers])), ROW(14:14)), MATCH($D$8, InvoiceDetails[#Headers], 0)),"")</f>
        <v/>
      </c>
      <c r="E22" s="52" t="str">
        <f t="array" ref="E22">IFERROR(INDEX(InvoiceDetails[],SMALL(IF(InvoiceDetails[N.º de factura]=rngInvoice,ROW(InvoiceDetails[])-ROW(InvoiceDetails[#Headers])), ROW(14:14)), MATCH($E$8, InvoiceDetails[#Headers], 0)),"")</f>
        <v/>
      </c>
      <c r="F22" s="52" t="str">
        <f t="array" ref="F22">IFERROR(INDEX(InvoiceDetails[],SMALL(IF(InvoiceDetails[N.º de factura]=rngInvoice,ROW(InvoiceDetails[])-ROW(InvoiceDetails[#Headers])), ROW(14:14)), MATCH($F$8, InvoiceDetails[#Headers], 0)),"")</f>
        <v/>
      </c>
      <c r="G22" s="53" t="str">
        <f t="shared" si="0"/>
        <v/>
      </c>
    </row>
    <row r="23" spans="2:7" s="3" customFormat="1" ht="33.950000000000003" customHeight="1" x14ac:dyDescent="0.25">
      <c r="B23" s="45" t="str">
        <f t="array" ref="B23">IFERROR(INDEX(InvoiceDetails[],SMALL(IF(InvoiceDetails[N.º de factura]=rngInvoice,ROW(InvoiceDetails[])-ROW(InvoiceDetails[#Headers])), ROW(15:15)), MATCH($B$8, InvoiceDetails[#Headers], 0)),"")</f>
        <v/>
      </c>
      <c r="C23" s="45" t="str">
        <f t="array" ref="C23">IFERROR(INDEX(InvoiceDetails[],SMALL(IF(InvoiceDetails[N.º de factura]=rngInvoice,ROW(InvoiceDetails[])-ROW(InvoiceDetails[#Headers])), ROW(15:15)), MATCH($C$8, InvoiceDetails[#Headers], 0)),"")</f>
        <v/>
      </c>
      <c r="D23" s="46" t="str">
        <f t="array" ref="D23">IFERROR(INDEX(InvoiceDetails[],SMALL(IF(InvoiceDetails[N.º de factura]=rngInvoice,ROW(InvoiceDetails[])-ROW(InvoiceDetails[#Headers])), ROW(15:15)), MATCH($D$8, InvoiceDetails[#Headers], 0)),"")</f>
        <v/>
      </c>
      <c r="E23" s="52" t="str">
        <f t="array" ref="E23">IFERROR(INDEX(InvoiceDetails[],SMALL(IF(InvoiceDetails[N.º de factura]=rngInvoice,ROW(InvoiceDetails[])-ROW(InvoiceDetails[#Headers])), ROW(15:15)), MATCH($E$8, InvoiceDetails[#Headers], 0)),"")</f>
        <v/>
      </c>
      <c r="F23" s="52" t="str">
        <f t="array" ref="F23">IFERROR(INDEX(InvoiceDetails[],SMALL(IF(InvoiceDetails[N.º de factura]=rngInvoice,ROW(InvoiceDetails[])-ROW(InvoiceDetails[#Headers])), ROW(15:15)), MATCH($F$8, InvoiceDetails[#Headers], 0)),"")</f>
        <v/>
      </c>
      <c r="G23" s="53" t="str">
        <f t="shared" si="0"/>
        <v/>
      </c>
    </row>
    <row r="24" spans="2:7" s="3" customFormat="1" ht="33.950000000000003" customHeight="1" x14ac:dyDescent="0.25">
      <c r="B24" s="45" t="str">
        <f t="array" ref="B24">IFERROR(INDEX(InvoiceDetails[],SMALL(IF(InvoiceDetails[N.º de factura]=rngInvoice,ROW(InvoiceDetails[])-ROW(InvoiceDetails[#Headers])), ROW(16:16)), MATCH($B$8, InvoiceDetails[#Headers], 0)),"")</f>
        <v/>
      </c>
      <c r="C24" s="45" t="str">
        <f t="array" ref="C24">IFERROR(INDEX(InvoiceDetails[],SMALL(IF(InvoiceDetails[N.º de factura]=rngInvoice,ROW(InvoiceDetails[])-ROW(InvoiceDetails[#Headers])), ROW(16:16)), MATCH($C$8, InvoiceDetails[#Headers], 0)),"")</f>
        <v/>
      </c>
      <c r="D24" s="46" t="str">
        <f t="array" ref="D24">IFERROR(INDEX(InvoiceDetails[],SMALL(IF(InvoiceDetails[N.º de factura]=rngInvoice,ROW(InvoiceDetails[])-ROW(InvoiceDetails[#Headers])), ROW(16:16)), MATCH($D$8, InvoiceDetails[#Headers], 0)),"")</f>
        <v/>
      </c>
      <c r="E24" s="52" t="str">
        <f t="array" ref="E24">IFERROR(INDEX(InvoiceDetails[],SMALL(IF(InvoiceDetails[N.º de factura]=rngInvoice,ROW(InvoiceDetails[])-ROW(InvoiceDetails[#Headers])), ROW(16:16)), MATCH($E$8, InvoiceDetails[#Headers], 0)),"")</f>
        <v/>
      </c>
      <c r="F24" s="52" t="str">
        <f t="array" ref="F24">IFERROR(INDEX(InvoiceDetails[],SMALL(IF(InvoiceDetails[N.º de factura]=rngInvoice,ROW(InvoiceDetails[])-ROW(InvoiceDetails[#Headers])), ROW(16:16)), MATCH($F$8, InvoiceDetails[#Headers], 0)),"")</f>
        <v/>
      </c>
      <c r="G24" s="53" t="str">
        <f t="shared" si="0"/>
        <v/>
      </c>
    </row>
    <row r="25" spans="2:7" s="3" customFormat="1" ht="33.950000000000003" customHeight="1" x14ac:dyDescent="0.25">
      <c r="B25" s="45" t="str">
        <f t="array" ref="B25">IFERROR(INDEX(InvoiceDetails[],SMALL(IF(InvoiceDetails[N.º de factura]=rngInvoice,ROW(InvoiceDetails[])-ROW(InvoiceDetails[#Headers])), ROW(17:17)), MATCH($B$8, InvoiceDetails[#Headers], 0)),"")</f>
        <v/>
      </c>
      <c r="C25" s="45" t="str">
        <f t="array" ref="C25">IFERROR(INDEX(InvoiceDetails[],SMALL(IF(InvoiceDetails[N.º de factura]=rngInvoice,ROW(InvoiceDetails[])-ROW(InvoiceDetails[#Headers])), ROW(17:17)), MATCH($C$8, InvoiceDetails[#Headers], 0)),"")</f>
        <v/>
      </c>
      <c r="D25" s="46" t="str">
        <f t="array" ref="D25">IFERROR(INDEX(InvoiceDetails[],SMALL(IF(InvoiceDetails[N.º de factura]=rngInvoice,ROW(InvoiceDetails[])-ROW(InvoiceDetails[#Headers])), ROW(17:17)), MATCH($D$8, InvoiceDetails[#Headers], 0)),"")</f>
        <v/>
      </c>
      <c r="E25" s="52" t="str">
        <f t="array" ref="E25">IFERROR(INDEX(InvoiceDetails[],SMALL(IF(InvoiceDetails[N.º de factura]=rngInvoice,ROW(InvoiceDetails[])-ROW(InvoiceDetails[#Headers])), ROW(17:17)), MATCH($E$8, InvoiceDetails[#Headers], 0)),"")</f>
        <v/>
      </c>
      <c r="F25" s="52" t="str">
        <f t="array" ref="F25">IFERROR(INDEX(InvoiceDetails[],SMALL(IF(InvoiceDetails[N.º de factura]=rngInvoice,ROW(InvoiceDetails[])-ROW(InvoiceDetails[#Headers])), ROW(17:17)), MATCH($F$8, InvoiceDetails[#Headers], 0)),"")</f>
        <v/>
      </c>
      <c r="G25" s="53" t="str">
        <f t="shared" si="0"/>
        <v/>
      </c>
    </row>
    <row r="26" spans="2:7" s="3" customFormat="1" ht="33.950000000000003" customHeight="1" x14ac:dyDescent="0.25">
      <c r="B26" s="45" t="str">
        <f t="array" ref="B26">IFERROR(INDEX(InvoiceDetails[],SMALL(IF(InvoiceDetails[N.º de factura]=rngInvoice,ROW(InvoiceDetails[])-ROW(InvoiceDetails[#Headers])), ROW(18:18)), MATCH($B$8, InvoiceDetails[#Headers], 0)),"")</f>
        <v/>
      </c>
      <c r="C26" s="45" t="str">
        <f t="array" ref="C26">IFERROR(INDEX(InvoiceDetails[],SMALL(IF(InvoiceDetails[N.º de factura]=rngInvoice,ROW(InvoiceDetails[])-ROW(InvoiceDetails[#Headers])), ROW(18:18)), MATCH($C$8, InvoiceDetails[#Headers], 0)),"")</f>
        <v/>
      </c>
      <c r="D26" s="46" t="str">
        <f t="array" ref="D26">IFERROR(INDEX(InvoiceDetails[],SMALL(IF(InvoiceDetails[N.º de factura]=rngInvoice,ROW(InvoiceDetails[])-ROW(InvoiceDetails[#Headers])), ROW(18:18)), MATCH($D$8, InvoiceDetails[#Headers], 0)),"")</f>
        <v/>
      </c>
      <c r="E26" s="52" t="str">
        <f t="array" ref="E26">IFERROR(INDEX(InvoiceDetails[],SMALL(IF(InvoiceDetails[N.º de factura]=rngInvoice,ROW(InvoiceDetails[])-ROW(InvoiceDetails[#Headers])), ROW(18:18)), MATCH($E$8, InvoiceDetails[#Headers], 0)),"")</f>
        <v/>
      </c>
      <c r="F26" s="52" t="str">
        <f t="array" ref="F26">IFERROR(INDEX(InvoiceDetails[],SMALL(IF(InvoiceDetails[N.º de factura]=rngInvoice,ROW(InvoiceDetails[])-ROW(InvoiceDetails[#Headers])), ROW(18:18)), MATCH($F$8, InvoiceDetails[#Headers], 0)),"")</f>
        <v/>
      </c>
      <c r="G26" s="53" t="str">
        <f t="shared" si="0"/>
        <v/>
      </c>
    </row>
    <row r="27" spans="2:7" s="3" customFormat="1" ht="33.950000000000003" customHeight="1" x14ac:dyDescent="0.25">
      <c r="B27" s="45" t="str">
        <f t="array" ref="B27">IFERROR(INDEX(InvoiceDetails[],SMALL(IF(InvoiceDetails[N.º de factura]=rngInvoice,ROW(InvoiceDetails[])-ROW(InvoiceDetails[#Headers])), ROW(19:19)), MATCH($B$8, InvoiceDetails[#Headers], 0)),"")</f>
        <v/>
      </c>
      <c r="C27" s="45" t="str">
        <f t="array" ref="C27">IFERROR(INDEX(InvoiceDetails[],SMALL(IF(InvoiceDetails[N.º de factura]=rngInvoice,ROW(InvoiceDetails[])-ROW(InvoiceDetails[#Headers])), ROW(19:19)), MATCH($C$8, InvoiceDetails[#Headers], 0)),"")</f>
        <v/>
      </c>
      <c r="D27" s="46" t="str">
        <f t="array" ref="D27">IFERROR(INDEX(InvoiceDetails[],SMALL(IF(InvoiceDetails[N.º de factura]=rngInvoice,ROW(InvoiceDetails[])-ROW(InvoiceDetails[#Headers])), ROW(19:19)), MATCH($D$8, InvoiceDetails[#Headers], 0)),"")</f>
        <v/>
      </c>
      <c r="E27" s="52" t="str">
        <f t="array" ref="E27">IFERROR(INDEX(InvoiceDetails[],SMALL(IF(InvoiceDetails[N.º de factura]=rngInvoice,ROW(InvoiceDetails[])-ROW(InvoiceDetails[#Headers])), ROW(19:19)), MATCH($E$8, InvoiceDetails[#Headers], 0)),"")</f>
        <v/>
      </c>
      <c r="F27" s="52" t="str">
        <f t="array" ref="F27">IFERROR(INDEX(InvoiceDetails[],SMALL(IF(InvoiceDetails[N.º de factura]=rngInvoice,ROW(InvoiceDetails[])-ROW(InvoiceDetails[#Headers])), ROW(19:19)), MATCH($F$8, InvoiceDetails[#Headers], 0)),"")</f>
        <v/>
      </c>
      <c r="G27" s="53" t="str">
        <f t="shared" si="0"/>
        <v/>
      </c>
    </row>
    <row r="28" spans="2:7" s="3" customFormat="1" ht="33.950000000000003" customHeight="1" x14ac:dyDescent="0.25">
      <c r="B28" s="45" t="str">
        <f t="array" ref="B28">IFERROR(INDEX(InvoiceDetails[],SMALL(IF(InvoiceDetails[N.º de factura]=rngInvoice,ROW(InvoiceDetails[])-ROW(InvoiceDetails[#Headers])), ROW(20:20)), MATCH($B$8, InvoiceDetails[#Headers], 0)),"")</f>
        <v/>
      </c>
      <c r="C28" s="45" t="str">
        <f t="array" ref="C28">IFERROR(INDEX(InvoiceDetails[],SMALL(IF(InvoiceDetails[N.º de factura]=rngInvoice,ROW(InvoiceDetails[])-ROW(InvoiceDetails[#Headers])), ROW(20:20)), MATCH($C$8, InvoiceDetails[#Headers], 0)),"")</f>
        <v/>
      </c>
      <c r="D28" s="46" t="str">
        <f t="array" ref="D28">IFERROR(INDEX(InvoiceDetails[],SMALL(IF(InvoiceDetails[N.º de factura]=rngInvoice,ROW(InvoiceDetails[])-ROW(InvoiceDetails[#Headers])), ROW(20:20)), MATCH($D$8, InvoiceDetails[#Headers], 0)),"")</f>
        <v/>
      </c>
      <c r="E28" s="52" t="str">
        <f t="array" ref="E28">IFERROR(INDEX(InvoiceDetails[],SMALL(IF(InvoiceDetails[N.º de factura]=rngInvoice,ROW(InvoiceDetails[])-ROW(InvoiceDetails[#Headers])), ROW(20:20)), MATCH($E$8, InvoiceDetails[#Headers], 0)),"")</f>
        <v/>
      </c>
      <c r="F28" s="52" t="str">
        <f t="array" ref="F28">IFERROR(INDEX(InvoiceDetails[],SMALL(IF(InvoiceDetails[N.º de factura]=rngInvoice,ROW(InvoiceDetails[])-ROW(InvoiceDetails[#Headers])), ROW(20:20)), MATCH($F$8, InvoiceDetails[#Headers], 0)),"")</f>
        <v/>
      </c>
      <c r="G28" s="53" t="str">
        <f t="shared" si="0"/>
        <v/>
      </c>
    </row>
    <row r="29" spans="2:7" s="3" customFormat="1" ht="33.950000000000003" customHeight="1" x14ac:dyDescent="0.25">
      <c r="B29" s="45" t="str">
        <f t="array" ref="B29">IFERROR(INDEX(InvoiceDetails[],SMALL(IF(InvoiceDetails[N.º de factura]=rngInvoice,ROW(InvoiceDetails[])-ROW(InvoiceDetails[#Headers])), ROW(21:21)), MATCH($B$8, InvoiceDetails[#Headers], 0)),"")</f>
        <v/>
      </c>
      <c r="C29" s="45" t="str">
        <f t="array" ref="C29">IFERROR(INDEX(InvoiceDetails[],SMALL(IF(InvoiceDetails[N.º de factura]=rngInvoice,ROW(InvoiceDetails[])-ROW(InvoiceDetails[#Headers])), ROW(21:21)), MATCH($C$8, InvoiceDetails[#Headers], 0)),"")</f>
        <v/>
      </c>
      <c r="D29" s="46" t="str">
        <f t="array" ref="D29">IFERROR(INDEX(InvoiceDetails[],SMALL(IF(InvoiceDetails[N.º de factura]=rngInvoice,ROW(InvoiceDetails[])-ROW(InvoiceDetails[#Headers])), ROW(21:21)), MATCH($D$8, InvoiceDetails[#Headers], 0)),"")</f>
        <v/>
      </c>
      <c r="E29" s="52" t="str">
        <f t="array" ref="E29">IFERROR(INDEX(InvoiceDetails[],SMALL(IF(InvoiceDetails[N.º de factura]=rngInvoice,ROW(InvoiceDetails[])-ROW(InvoiceDetails[#Headers])), ROW(21:21)), MATCH($E$8, InvoiceDetails[#Headers], 0)),"")</f>
        <v/>
      </c>
      <c r="F29" s="52" t="str">
        <f t="array" ref="F29">IFERROR(INDEX(InvoiceDetails[],SMALL(IF(InvoiceDetails[N.º de factura]=rngInvoice,ROW(InvoiceDetails[])-ROW(InvoiceDetails[#Headers])), ROW(21:21)), MATCH($F$8, InvoiceDetails[#Headers], 0)),"")</f>
        <v/>
      </c>
      <c r="G29" s="53" t="str">
        <f t="shared" si="0"/>
        <v/>
      </c>
    </row>
    <row r="30" spans="2:7" s="3" customFormat="1" ht="33.950000000000003" customHeight="1" x14ac:dyDescent="0.25">
      <c r="B30" s="45" t="str">
        <f t="array" ref="B30">IFERROR(INDEX(InvoiceDetails[],SMALL(IF(InvoiceDetails[N.º de factura]=rngInvoice,ROW(InvoiceDetails[])-ROW(InvoiceDetails[#Headers])), ROW(22:22)), MATCH($B$8, InvoiceDetails[#Headers], 0)),"")</f>
        <v/>
      </c>
      <c r="C30" s="45" t="str">
        <f t="array" ref="C30">IFERROR(INDEX(InvoiceDetails[],SMALL(IF(InvoiceDetails[N.º de factura]=rngInvoice,ROW(InvoiceDetails[])-ROW(InvoiceDetails[#Headers])), ROW(22:22)), MATCH($C$8, InvoiceDetails[#Headers], 0)),"")</f>
        <v/>
      </c>
      <c r="D30" s="46" t="str">
        <f t="array" ref="D30">IFERROR(INDEX(InvoiceDetails[],SMALL(IF(InvoiceDetails[N.º de factura]=rngInvoice,ROW(InvoiceDetails[])-ROW(InvoiceDetails[#Headers])), ROW(22:22)), MATCH($D$8, InvoiceDetails[#Headers], 0)),"")</f>
        <v/>
      </c>
      <c r="E30" s="52" t="str">
        <f t="array" ref="E30">IFERROR(INDEX(InvoiceDetails[],SMALL(IF(InvoiceDetails[N.º de factura]=rngInvoice,ROW(InvoiceDetails[])-ROW(InvoiceDetails[#Headers])), ROW(22:22)), MATCH($E$8, InvoiceDetails[#Headers], 0)),"")</f>
        <v/>
      </c>
      <c r="F30" s="52" t="str">
        <f t="array" ref="F30">IFERROR(INDEX(InvoiceDetails[],SMALL(IF(InvoiceDetails[N.º de factura]=rngInvoice,ROW(InvoiceDetails[])-ROW(InvoiceDetails[#Headers])), ROW(22:22)), MATCH($F$8, InvoiceDetails[#Headers], 0)),"")</f>
        <v/>
      </c>
      <c r="G30" s="53" t="str">
        <f t="shared" si="0"/>
        <v/>
      </c>
    </row>
    <row r="31" spans="2:7" s="3" customFormat="1" ht="33.950000000000003" customHeight="1" x14ac:dyDescent="0.25">
      <c r="B31" s="45" t="str">
        <f t="array" ref="B31">IFERROR(INDEX(InvoiceDetails[],SMALL(IF(InvoiceDetails[N.º de factura]=rngInvoice,ROW(InvoiceDetails[])-ROW(InvoiceDetails[#Headers])), ROW(23:23)), MATCH($B$8, InvoiceDetails[#Headers], 0)),"")</f>
        <v/>
      </c>
      <c r="C31" s="45" t="str">
        <f t="array" ref="C31">IFERROR(INDEX(InvoiceDetails[],SMALL(IF(InvoiceDetails[N.º de factura]=rngInvoice,ROW(InvoiceDetails[])-ROW(InvoiceDetails[#Headers])), ROW(23:23)), MATCH($C$8, InvoiceDetails[#Headers], 0)),"")</f>
        <v/>
      </c>
      <c r="D31" s="46" t="str">
        <f t="array" ref="D31">IFERROR(INDEX(InvoiceDetails[],SMALL(IF(InvoiceDetails[N.º de factura]=rngInvoice,ROW(InvoiceDetails[])-ROW(InvoiceDetails[#Headers])), ROW(23:23)), MATCH($D$8, InvoiceDetails[#Headers], 0)),"")</f>
        <v/>
      </c>
      <c r="E31" s="52" t="str">
        <f t="array" ref="E31">IFERROR(INDEX(InvoiceDetails[],SMALL(IF(InvoiceDetails[N.º de factura]=rngInvoice,ROW(InvoiceDetails[])-ROW(InvoiceDetails[#Headers])), ROW(23:23)), MATCH($E$8, InvoiceDetails[#Headers], 0)),"")</f>
        <v/>
      </c>
      <c r="F31" s="52" t="str">
        <f t="array" ref="F31">IFERROR(INDEX(InvoiceDetails[],SMALL(IF(InvoiceDetails[N.º de factura]=rngInvoice,ROW(InvoiceDetails[])-ROW(InvoiceDetails[#Headers])), ROW(23:23)), MATCH($F$8, InvoiceDetails[#Headers], 0)),"")</f>
        <v/>
      </c>
      <c r="G31" s="53" t="str">
        <f t="shared" si="0"/>
        <v/>
      </c>
    </row>
    <row r="32" spans="2:7" s="3" customFormat="1" ht="33.950000000000003" customHeight="1" x14ac:dyDescent="0.25">
      <c r="B32" s="45" t="str">
        <f t="array" ref="B32">IFERROR(INDEX(InvoiceDetails[],SMALL(IF(InvoiceDetails[N.º de factura]=rngInvoice,ROW(InvoiceDetails[])-ROW(InvoiceDetails[#Headers])), ROW(24:24)), MATCH($B$8, InvoiceDetails[#Headers], 0)),"")</f>
        <v/>
      </c>
      <c r="C32" s="45" t="str">
        <f t="array" ref="C32">IFERROR(INDEX(InvoiceDetails[],SMALL(IF(InvoiceDetails[N.º de factura]=rngInvoice,ROW(InvoiceDetails[])-ROW(InvoiceDetails[#Headers])), ROW(24:24)), MATCH($C$8, InvoiceDetails[#Headers], 0)),"")</f>
        <v/>
      </c>
      <c r="D32" s="46" t="str">
        <f t="array" ref="D32">IFERROR(INDEX(InvoiceDetails[],SMALL(IF(InvoiceDetails[N.º de factura]=rngInvoice,ROW(InvoiceDetails[])-ROW(InvoiceDetails[#Headers])), ROW(24:24)), MATCH($D$8, InvoiceDetails[#Headers], 0)),"")</f>
        <v/>
      </c>
      <c r="E32" s="52" t="str">
        <f t="array" ref="E32">IFERROR(INDEX(InvoiceDetails[],SMALL(IF(InvoiceDetails[N.º de factura]=rngInvoice,ROW(InvoiceDetails[])-ROW(InvoiceDetails[#Headers])), ROW(24:24)), MATCH($E$8, InvoiceDetails[#Headers], 0)),"")</f>
        <v/>
      </c>
      <c r="F32" s="52" t="str">
        <f t="array" ref="F32">IFERROR(INDEX(InvoiceDetails[],SMALL(IF(InvoiceDetails[N.º de factura]=rngInvoice,ROW(InvoiceDetails[])-ROW(InvoiceDetails[#Headers])), ROW(24:24)), MATCH($F$8, InvoiceDetails[#Headers], 0)),"")</f>
        <v/>
      </c>
      <c r="G32" s="53" t="str">
        <f t="shared" si="0"/>
        <v/>
      </c>
    </row>
    <row r="33" spans="2:7" s="3" customFormat="1" ht="33.950000000000003" customHeight="1" x14ac:dyDescent="0.25">
      <c r="B33" s="45" t="str">
        <f t="array" ref="B33">IFERROR(INDEX(InvoiceDetails[],SMALL(IF(InvoiceDetails[N.º de factura]=rngInvoice,ROW(InvoiceDetails[])-ROW(InvoiceDetails[#Headers])), ROW(25:25)), MATCH($B$8, InvoiceDetails[#Headers], 0)),"")</f>
        <v/>
      </c>
      <c r="C33" s="45" t="str">
        <f t="array" ref="C33">IFERROR(INDEX(InvoiceDetails[],SMALL(IF(InvoiceDetails[N.º de factura]=rngInvoice,ROW(InvoiceDetails[])-ROW(InvoiceDetails[#Headers])), ROW(25:25)), MATCH($C$8, InvoiceDetails[#Headers], 0)),"")</f>
        <v/>
      </c>
      <c r="D33" s="46" t="str">
        <f t="array" ref="D33">IFERROR(INDEX(InvoiceDetails[],SMALL(IF(InvoiceDetails[N.º de factura]=rngInvoice,ROW(InvoiceDetails[])-ROW(InvoiceDetails[#Headers])), ROW(25:25)), MATCH($D$8, InvoiceDetails[#Headers], 0)),"")</f>
        <v/>
      </c>
      <c r="E33" s="52" t="str">
        <f t="array" ref="E33">IFERROR(INDEX(InvoiceDetails[],SMALL(IF(InvoiceDetails[N.º de factura]=rngInvoice,ROW(InvoiceDetails[])-ROW(InvoiceDetails[#Headers])), ROW(25:25)), MATCH($E$8, InvoiceDetails[#Headers], 0)),"")</f>
        <v/>
      </c>
      <c r="F33" s="52" t="str">
        <f t="array" ref="F33">IFERROR(INDEX(InvoiceDetails[],SMALL(IF(InvoiceDetails[N.º de factura]=rngInvoice,ROW(InvoiceDetails[])-ROW(InvoiceDetails[#Headers])), ROW(25:25)), MATCH($F$8, InvoiceDetails[#Headers], 0)),"")</f>
        <v/>
      </c>
      <c r="G33" s="53" t="str">
        <f t="shared" si="0"/>
        <v/>
      </c>
    </row>
    <row r="34" spans="2:7" s="3" customFormat="1" ht="33.950000000000003" customHeight="1" x14ac:dyDescent="0.25">
      <c r="D34" s="9"/>
      <c r="E34" s="9"/>
      <c r="F34" s="42" t="s">
        <v>17</v>
      </c>
      <c r="G34" s="54">
        <f>SUM(ProjectInvoice[Precio])</f>
        <v>2014</v>
      </c>
    </row>
    <row r="35" spans="2:7" s="3" customFormat="1" ht="33.950000000000003" customHeight="1" x14ac:dyDescent="0.25">
      <c r="D35" s="9"/>
      <c r="E35" s="9"/>
      <c r="F35" s="42" t="s">
        <v>18</v>
      </c>
      <c r="G35" s="51">
        <f>VLOOKUP(rngInvoice,InvoicesMain[],5)</f>
        <v>8.7499999999999994E-2</v>
      </c>
    </row>
    <row r="36" spans="2:7" s="3" customFormat="1" ht="33.950000000000003" customHeight="1" x14ac:dyDescent="0.25">
      <c r="D36" s="9"/>
      <c r="E36" s="9"/>
      <c r="F36" s="42" t="s">
        <v>19</v>
      </c>
      <c r="G36" s="54">
        <f>G34*G35</f>
        <v>176.22499999999999</v>
      </c>
    </row>
    <row r="37" spans="2:7" s="3" customFormat="1" ht="33.950000000000003" customHeight="1" x14ac:dyDescent="0.2">
      <c r="C37" s="10"/>
      <c r="F37" s="42" t="s">
        <v>20</v>
      </c>
      <c r="G37" s="54">
        <f>VLOOKUP(rngInvoice,InvoicesMain[],6)</f>
        <v>0</v>
      </c>
    </row>
    <row r="38" spans="2:7" s="3" customFormat="1" ht="33.950000000000003" customHeight="1" thickBot="1" x14ac:dyDescent="0.3">
      <c r="B38" s="66" t="str">
        <f>"Todos los cheques se extenderán a nombre de  "&amp;Nombre_De_La_Empresa&amp;"."</f>
        <v>Todos los cheques se extenderán a nombre de  Nombre De La Empresa.</v>
      </c>
      <c r="C38" s="66"/>
      <c r="D38" s="66"/>
      <c r="E38" s="67"/>
      <c r="F38" s="43" t="s">
        <v>21</v>
      </c>
      <c r="G38" s="54">
        <f>VLOOKUP(rngInvoice,InvoicesMain[],7)</f>
        <v>0</v>
      </c>
    </row>
    <row r="39" spans="2:7" ht="33.950000000000003" customHeight="1" thickTop="1" x14ac:dyDescent="0.25">
      <c r="B39" s="64" t="s">
        <v>6</v>
      </c>
      <c r="C39" s="64"/>
      <c r="D39" s="64"/>
      <c r="E39" s="65"/>
      <c r="F39" s="44" t="s">
        <v>22</v>
      </c>
      <c r="G39" s="55">
        <f>(G34+G36+G37)-G38</f>
        <v>2190.2249999999999</v>
      </c>
    </row>
  </sheetData>
  <sheetProtection sheet="1" objects="1" scenarios="1" formatCells="0" formatColumns="0" formatRows="0" selectLockedCells="1" sort="0"/>
  <mergeCells count="11">
    <mergeCell ref="B39:E39"/>
    <mergeCell ref="B38:E38"/>
    <mergeCell ref="D4:E4"/>
    <mergeCell ref="D5:E5"/>
    <mergeCell ref="D6:E6"/>
    <mergeCell ref="D2:E2"/>
    <mergeCell ref="D3:E3"/>
    <mergeCell ref="F2:G2"/>
    <mergeCell ref="F3:G3"/>
    <mergeCell ref="B2:C2"/>
    <mergeCell ref="B3:C3"/>
  </mergeCells>
  <phoneticPr fontId="1" type="noConversion"/>
  <conditionalFormatting sqref="F34:F38 B9:F33">
    <cfRule type="expression" dxfId="65" priority="7">
      <formula>MOD(ROW(),2)=0</formula>
    </cfRule>
  </conditionalFormatting>
  <conditionalFormatting sqref="G9:G33">
    <cfRule type="expression" dxfId="64" priority="4">
      <formula>MOD(ROW(),2)=0</formula>
    </cfRule>
    <cfRule type="expression" dxfId="63" priority="5">
      <formula>MOD(ROW(),2)=1</formula>
    </cfRule>
  </conditionalFormatting>
  <conditionalFormatting sqref="G34:G38">
    <cfRule type="expression" dxfId="62" priority="1">
      <formula>MOD(ROW(),2)=1</formula>
    </cfRule>
    <cfRule type="expression" dxfId="61" priority="2">
      <formula>MOD(ROW(),2)=0</formula>
    </cfRule>
  </conditionalFormatting>
  <dataValidations count="1">
    <dataValidation type="list" allowBlank="1" showInputMessage="1" showErrorMessage="1" errorTitle="Datos no válidos" error="Por favor, seleccione el número de factura de esta lista. Si no se muestra su factura, compruebe la hoja de cálculo llamada Facturas - principales." sqref="G4" xr:uid="{00000000-0002-0000-0000-000000000000}">
      <formula1>Invoice_No</formula1>
    </dataValidation>
  </dataValidations>
  <printOptions horizontalCentered="1"/>
  <pageMargins left="0.7" right="0.7" top="1" bottom="1" header="0.3" footer="0.3"/>
  <pageSetup paperSize="9" orientation="portrait" horizontalDpi="300" verticalDpi="300" r:id="rId1"/>
  <headerFooter differentFirst="1" alignWithMargins="0">
    <oddFooter>Page &amp;P of &amp;N</oddFooter>
  </headerFooter>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4" tint="-0.249977111117893"/>
    <pageSetUpPr autoPageBreaks="0" fitToPage="1"/>
  </sheetPr>
  <dimension ref="A1:L6"/>
  <sheetViews>
    <sheetView showGridLines="0" zoomScaleNormal="100" workbookViewId="0"/>
  </sheetViews>
  <sheetFormatPr defaultColWidth="9" defaultRowHeight="33.950000000000003" customHeight="1" x14ac:dyDescent="0.25"/>
  <cols>
    <col min="1" max="1" width="2.85546875" style="22" customWidth="1"/>
    <col min="2" max="2" width="16.140625" hidden="1" customWidth="1"/>
    <col min="3" max="3" width="20.140625" customWidth="1"/>
    <col min="4" max="4" width="26" customWidth="1"/>
    <col min="5" max="5" width="24.42578125" customWidth="1"/>
    <col min="6" max="6" width="26.5703125" customWidth="1"/>
    <col min="7" max="7" width="17.28515625" customWidth="1"/>
    <col min="8" max="8" width="13.28515625" style="22" customWidth="1"/>
    <col min="9" max="9" width="18.7109375" style="22" customWidth="1"/>
    <col min="10" max="10" width="14.7109375" style="22" customWidth="1"/>
    <col min="11" max="11" width="26.85546875" style="22" customWidth="1"/>
    <col min="12" max="12" width="15.28515625" style="22" customWidth="1"/>
    <col min="13" max="13" width="2.85546875" customWidth="1"/>
  </cols>
  <sheetData>
    <row r="1" spans="2:12" ht="30.95" customHeight="1" x14ac:dyDescent="0.25"/>
    <row r="2" spans="2:12" ht="29.1" customHeight="1" x14ac:dyDescent="0.25">
      <c r="C2" s="1" t="s">
        <v>27</v>
      </c>
    </row>
    <row r="3" spans="2:12" s="20" customFormat="1" ht="24" customHeight="1" x14ac:dyDescent="0.25">
      <c r="B3" s="23" t="s">
        <v>25</v>
      </c>
      <c r="C3" s="23" t="s">
        <v>28</v>
      </c>
      <c r="D3" s="23" t="s">
        <v>0</v>
      </c>
      <c r="E3" s="23" t="s">
        <v>31</v>
      </c>
      <c r="F3" s="23" t="s">
        <v>34</v>
      </c>
      <c r="G3" s="23" t="s">
        <v>37</v>
      </c>
      <c r="H3" s="23" t="s">
        <v>40</v>
      </c>
      <c r="I3" s="23" t="s">
        <v>43</v>
      </c>
      <c r="J3" s="23" t="s">
        <v>46</v>
      </c>
      <c r="K3" s="23" t="s">
        <v>12</v>
      </c>
      <c r="L3" s="23" t="s">
        <v>50</v>
      </c>
    </row>
    <row r="4" spans="2:12" ht="33.950000000000003" customHeight="1" x14ac:dyDescent="0.25">
      <c r="B4" s="24" t="str">
        <f t="shared" ref="B4:B5" si="0">C4&amp; " - "&amp;D4</f>
        <v xml:space="preserve">1 - Tailspin Toys </v>
      </c>
      <c r="C4" s="24">
        <v>1</v>
      </c>
      <c r="D4" s="25" t="s">
        <v>29</v>
      </c>
      <c r="E4" s="25" t="s">
        <v>32</v>
      </c>
      <c r="F4" s="25" t="s">
        <v>35</v>
      </c>
      <c r="G4" s="25" t="s">
        <v>38</v>
      </c>
      <c r="H4" s="21" t="s">
        <v>41</v>
      </c>
      <c r="I4" s="5" t="s">
        <v>44</v>
      </c>
      <c r="J4" s="27" t="s">
        <v>47</v>
      </c>
      <c r="K4" s="28" t="s">
        <v>49</v>
      </c>
      <c r="L4" s="27" t="s">
        <v>51</v>
      </c>
    </row>
    <row r="5" spans="2:12" ht="33.950000000000003" customHeight="1" x14ac:dyDescent="0.25">
      <c r="B5" s="24" t="str">
        <f t="shared" si="0"/>
        <v>2 - Contoso, Ltd</v>
      </c>
      <c r="C5" s="24">
        <v>2</v>
      </c>
      <c r="D5" s="25" t="s">
        <v>30</v>
      </c>
      <c r="E5" s="25" t="s">
        <v>33</v>
      </c>
      <c r="F5" s="25" t="s">
        <v>36</v>
      </c>
      <c r="G5" s="25" t="s">
        <v>39</v>
      </c>
      <c r="H5" s="21" t="s">
        <v>42</v>
      </c>
      <c r="I5" s="5" t="s">
        <v>45</v>
      </c>
      <c r="J5" s="27" t="s">
        <v>48</v>
      </c>
      <c r="K5" s="28" t="s">
        <v>49</v>
      </c>
      <c r="L5" s="27" t="s">
        <v>52</v>
      </c>
    </row>
    <row r="6" spans="2:12" ht="33.950000000000003" customHeight="1" x14ac:dyDescent="0.25">
      <c r="B6" s="48" t="s">
        <v>26</v>
      </c>
      <c r="C6" s="21" t="str">
        <f>"Clientes totales: "&amp;SUBTOTAL(103,CustomerList[N.º de compañía])</f>
        <v>Clientes totales: 2</v>
      </c>
      <c r="D6" s="56"/>
      <c r="E6" s="56"/>
      <c r="F6" s="56"/>
      <c r="G6" s="56"/>
      <c r="H6" s="57"/>
      <c r="I6" s="57"/>
      <c r="J6" s="58"/>
      <c r="K6" s="57"/>
      <c r="L6" s="58"/>
    </row>
  </sheetData>
  <sheetProtection formatCells="0" formatColumns="0" formatRows="0" insertColumns="0" insertRows="0" insertHyperlinks="0" deleteColumns="0" deleteRows="0" selectLockedCells="1" sort="0" autoFilter="0" pivotTables="0"/>
  <conditionalFormatting sqref="C4:C5">
    <cfRule type="duplicateValues" dxfId="46" priority="47"/>
  </conditionalFormatting>
  <conditionalFormatting sqref="D4:D5">
    <cfRule type="duplicateValues" dxfId="45" priority="48"/>
  </conditionalFormatting>
  <hyperlinks>
    <hyperlink ref="K4" r:id="rId1" xr:uid="{00000000-0004-0000-0100-000000000000}"/>
    <hyperlink ref="K5" r:id="rId2" xr:uid="{00000000-0004-0000-0100-000001000000}"/>
  </hyperlinks>
  <printOptions horizontalCentered="1"/>
  <pageMargins left="0.25" right="0.25" top="0.75" bottom="0.75" header="0.3" footer="0.3"/>
  <pageSetup paperSize="9" fitToHeight="0" orientation="landscape" r:id="rId3"/>
  <headerFooter differentFirst="1">
    <oddFooter>Page &amp;P of &amp;N</oddFooter>
  </headerFooter>
  <ignoredErrors>
    <ignoredError sqref="I4:I5" numberStoredAsText="1"/>
  </ignoredErrors>
  <drawing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pageSetUpPr autoPageBreaks="0" fitToPage="1"/>
  </sheetPr>
  <dimension ref="A1:K6"/>
  <sheetViews>
    <sheetView showGridLines="0" zoomScaleNormal="100" workbookViewId="0"/>
  </sheetViews>
  <sheetFormatPr defaultColWidth="9" defaultRowHeight="33.950000000000003" customHeight="1" x14ac:dyDescent="0.25"/>
  <cols>
    <col min="1" max="1" width="2.85546875" customWidth="1"/>
    <col min="2" max="2" width="17.5703125" customWidth="1"/>
    <col min="3" max="3" width="20.7109375" customWidth="1"/>
    <col min="4" max="4" width="24.42578125" customWidth="1"/>
    <col min="5" max="5" width="29.42578125" customWidth="1"/>
    <col min="6" max="6" width="17.85546875" customWidth="1"/>
    <col min="7" max="7" width="11.42578125" customWidth="1"/>
    <col min="8" max="8" width="13.5703125" customWidth="1"/>
    <col min="9" max="9" width="21.42578125" customWidth="1"/>
    <col min="10" max="10" width="23.140625" customWidth="1"/>
    <col min="11" max="11" width="29.85546875" customWidth="1"/>
    <col min="12" max="12" width="2.85546875" customWidth="1"/>
  </cols>
  <sheetData>
    <row r="1" spans="1:11" ht="30.95" customHeight="1" x14ac:dyDescent="0.25">
      <c r="A1" s="22"/>
    </row>
    <row r="2" spans="1:11" ht="29.1" customHeight="1" x14ac:dyDescent="0.25">
      <c r="B2" s="1" t="s">
        <v>53</v>
      </c>
    </row>
    <row r="3" spans="1:11" ht="24" customHeight="1" x14ac:dyDescent="0.25">
      <c r="B3" s="23" t="s">
        <v>54</v>
      </c>
      <c r="C3" s="23" t="s">
        <v>56</v>
      </c>
      <c r="D3" s="23" t="s">
        <v>59</v>
      </c>
      <c r="E3" s="23" t="s">
        <v>60</v>
      </c>
      <c r="F3" s="23" t="s">
        <v>18</v>
      </c>
      <c r="G3" s="23" t="s">
        <v>20</v>
      </c>
      <c r="H3" s="23" t="s">
        <v>63</v>
      </c>
      <c r="I3" s="23" t="s">
        <v>64</v>
      </c>
      <c r="J3" s="23" t="s">
        <v>65</v>
      </c>
      <c r="K3" s="23" t="s">
        <v>66</v>
      </c>
    </row>
    <row r="4" spans="1:11" ht="33.950000000000003" customHeight="1" x14ac:dyDescent="0.25">
      <c r="B4" s="30" t="s">
        <v>55</v>
      </c>
      <c r="C4" s="24" t="s">
        <v>57</v>
      </c>
      <c r="D4" s="6">
        <f ca="1">TODAY()</f>
        <v>43675</v>
      </c>
      <c r="E4" s="5" t="s">
        <v>61</v>
      </c>
      <c r="F4" s="26">
        <v>8.7499999999999994E-2</v>
      </c>
      <c r="G4" s="59">
        <v>100</v>
      </c>
      <c r="H4" s="59">
        <v>100</v>
      </c>
      <c r="I4" s="59">
        <f>SUMIF(InvoiceDetails[N.º de factura],"="&amp;InvoicesMain[[#This Row],[N.º de factura]],InvoiceDetails[Total])</f>
        <v>5200</v>
      </c>
      <c r="J4" s="59">
        <f>(InvoicesMain[[#This Row],[Total de detalles]]*(1+InvoicesMain[[#This Row],[Tipo impositivo]]))+InvoicesMain[[#This Row],[Otros]]-InvoicesMain[[#This Row],[Depósito]]</f>
        <v>5654.9999999999991</v>
      </c>
      <c r="K4" s="25"/>
    </row>
    <row r="5" spans="1:11" ht="33.950000000000003" customHeight="1" x14ac:dyDescent="0.25">
      <c r="B5" s="30" t="s">
        <v>23</v>
      </c>
      <c r="C5" s="24" t="s">
        <v>58</v>
      </c>
      <c r="D5" s="6">
        <f ca="1">TODAY()+10</f>
        <v>43685</v>
      </c>
      <c r="E5" s="5" t="s">
        <v>62</v>
      </c>
      <c r="F5" s="26">
        <v>8.7499999999999994E-2</v>
      </c>
      <c r="G5" s="59"/>
      <c r="H5" s="59"/>
      <c r="I5" s="59">
        <f>SUMIF(InvoiceDetails[N.º de factura],"="&amp;InvoicesMain[[#This Row],[N.º de factura]],InvoiceDetails[Total])</f>
        <v>2014</v>
      </c>
      <c r="J5" s="59">
        <f>(InvoicesMain[[#This Row],[Total de detalles]]*(1+InvoicesMain[[#This Row],[Tipo impositivo]]))+InvoicesMain[[#This Row],[Otros]]-InvoicesMain[[#This Row],[Depósito]]</f>
        <v>2190.2249999999999</v>
      </c>
      <c r="K5" s="25"/>
    </row>
    <row r="6" spans="1:11" ht="33.950000000000003" customHeight="1" x14ac:dyDescent="0.25">
      <c r="B6" s="21" t="s">
        <v>26</v>
      </c>
      <c r="C6" s="21" t="str">
        <f>"Facturas totales: "&amp;SUBTOTAL(103,InvoicesMain[N.º de factura])</f>
        <v>Facturas totales: 2</v>
      </c>
      <c r="D6" s="40"/>
      <c r="E6" s="5"/>
      <c r="F6" s="25"/>
      <c r="G6" s="60">
        <f>SUBTOTAL(109,InvoicesMain[Otros])</f>
        <v>100</v>
      </c>
      <c r="H6" s="60">
        <f>SUBTOTAL(109,InvoicesMain[Depósito])</f>
        <v>100</v>
      </c>
      <c r="I6" s="60">
        <f>SUBTOTAL(109,InvoicesMain[Total de detalles])</f>
        <v>7214</v>
      </c>
      <c r="J6" s="60">
        <f>SUBTOTAL(109,InvoicesMain[Total de la factura])</f>
        <v>7845.2249999999985</v>
      </c>
      <c r="K6" s="25"/>
    </row>
  </sheetData>
  <sheetProtection formatCells="0" formatColumns="0" formatRows="0" insertRows="0" insertHyperlinks="0" deleteRows="0" selectLockedCells="1" sort="0" autoFilter="0" pivotTables="0"/>
  <conditionalFormatting sqref="B4:B5">
    <cfRule type="duplicateValues" dxfId="41" priority="51"/>
  </conditionalFormatting>
  <dataValidations count="1">
    <dataValidation type="list" allowBlank="1" showInputMessage="1" showErrorMessage="1" sqref="C4:C5" xr:uid="{00000000-0002-0000-0200-000000000000}">
      <formula1>CustomerLookup</formula1>
    </dataValidation>
  </dataValidations>
  <printOptions horizontalCentered="1"/>
  <pageMargins left="0.25" right="0.25" top="0.75" bottom="0.75" header="0.3" footer="0.3"/>
  <pageSetup paperSize="9" fitToHeight="0" orientation="landscape" r:id="rId1"/>
  <headerFooter differentFirst="1">
    <oddFooter>Page &amp;P of &amp;N</oddFooter>
  </headerFooter>
  <ignoredErrors>
    <ignoredError sqref="J5" emptyCellReference="1"/>
  </ignoredErrors>
  <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pageSetUpPr autoPageBreaks="0" fitToPage="1"/>
  </sheetPr>
  <dimension ref="B1:H40"/>
  <sheetViews>
    <sheetView showGridLines="0" zoomScaleNormal="100" workbookViewId="0">
      <pane ySplit="3" topLeftCell="A4" activePane="bottomLeft" state="frozen"/>
      <selection pane="bottomLeft"/>
    </sheetView>
  </sheetViews>
  <sheetFormatPr defaultColWidth="9" defaultRowHeight="33.950000000000003" customHeight="1" x14ac:dyDescent="0.25"/>
  <cols>
    <col min="1" max="1" width="2.5703125" customWidth="1"/>
    <col min="2" max="2" width="24.7109375" customWidth="1"/>
    <col min="3" max="3" width="18.140625" customWidth="1"/>
    <col min="4" max="4" width="15.42578125" customWidth="1"/>
    <col min="5" max="5" width="16" customWidth="1"/>
    <col min="6" max="6" width="21.28515625" customWidth="1"/>
    <col min="7" max="7" width="15.7109375" customWidth="1"/>
    <col min="8" max="8" width="12.85546875" customWidth="1"/>
    <col min="9" max="9" width="2.85546875" customWidth="1"/>
  </cols>
  <sheetData>
    <row r="1" spans="2:8" ht="30.95" customHeight="1" x14ac:dyDescent="0.25"/>
    <row r="2" spans="2:8" ht="29.1" customHeight="1" x14ac:dyDescent="0.25">
      <c r="B2" s="1" t="s">
        <v>67</v>
      </c>
    </row>
    <row r="3" spans="2:8" ht="24" customHeight="1" x14ac:dyDescent="0.25">
      <c r="B3" s="23" t="s">
        <v>7</v>
      </c>
      <c r="C3" s="23" t="s">
        <v>54</v>
      </c>
      <c r="D3" s="23" t="s">
        <v>5</v>
      </c>
      <c r="E3" s="23" t="s">
        <v>10</v>
      </c>
      <c r="F3" s="23" t="s">
        <v>11</v>
      </c>
      <c r="G3" s="23" t="s">
        <v>16</v>
      </c>
      <c r="H3" s="23" t="s">
        <v>117</v>
      </c>
    </row>
    <row r="4" spans="2:8" ht="33.950000000000003" customHeight="1" x14ac:dyDescent="0.25">
      <c r="B4" s="5" t="s">
        <v>68</v>
      </c>
      <c r="C4" s="5" t="s">
        <v>55</v>
      </c>
      <c r="D4" s="5">
        <v>1</v>
      </c>
      <c r="E4" s="61">
        <v>1</v>
      </c>
      <c r="F4" s="59">
        <v>1</v>
      </c>
      <c r="G4" s="59">
        <v>1</v>
      </c>
      <c r="H4" s="59">
        <f>(InvoiceDetails[[#This Row],[Cant.]]*InvoiceDetails[[#This Row],[Precio por unidad]])-InvoiceDetails[[#This Row],[Descuento]]</f>
        <v>0</v>
      </c>
    </row>
    <row r="5" spans="2:8" ht="33.950000000000003" customHeight="1" x14ac:dyDescent="0.25">
      <c r="B5" s="5" t="s">
        <v>69</v>
      </c>
      <c r="C5" s="5" t="s">
        <v>55</v>
      </c>
      <c r="D5" s="5">
        <v>2</v>
      </c>
      <c r="E5" s="61">
        <v>2</v>
      </c>
      <c r="F5" s="59">
        <v>2</v>
      </c>
      <c r="G5" s="59">
        <v>2</v>
      </c>
      <c r="H5" s="59">
        <f>(InvoiceDetails[[#This Row],[Cant.]]*InvoiceDetails[[#This Row],[Precio por unidad]])-InvoiceDetails[[#This Row],[Descuento]]</f>
        <v>2</v>
      </c>
    </row>
    <row r="6" spans="2:8" ht="33.950000000000003" customHeight="1" x14ac:dyDescent="0.25">
      <c r="B6" s="5" t="s">
        <v>70</v>
      </c>
      <c r="C6" s="5" t="s">
        <v>55</v>
      </c>
      <c r="D6" s="5">
        <v>3</v>
      </c>
      <c r="E6" s="61">
        <v>3</v>
      </c>
      <c r="F6" s="59">
        <v>3</v>
      </c>
      <c r="G6" s="59">
        <v>3</v>
      </c>
      <c r="H6" s="59">
        <f>(InvoiceDetails[[#This Row],[Cant.]]*InvoiceDetails[[#This Row],[Precio por unidad]])-InvoiceDetails[[#This Row],[Descuento]]</f>
        <v>6</v>
      </c>
    </row>
    <row r="7" spans="2:8" ht="33.950000000000003" customHeight="1" x14ac:dyDescent="0.25">
      <c r="B7" s="5" t="s">
        <v>71</v>
      </c>
      <c r="C7" s="5" t="s">
        <v>55</v>
      </c>
      <c r="D7" s="5">
        <v>4</v>
      </c>
      <c r="E7" s="61">
        <v>4</v>
      </c>
      <c r="F7" s="59">
        <v>4</v>
      </c>
      <c r="G7" s="59">
        <v>4</v>
      </c>
      <c r="H7" s="59">
        <f>(InvoiceDetails[[#This Row],[Cant.]]*InvoiceDetails[[#This Row],[Precio por unidad]])-InvoiceDetails[[#This Row],[Descuento]]</f>
        <v>12</v>
      </c>
    </row>
    <row r="8" spans="2:8" ht="33.950000000000003" customHeight="1" x14ac:dyDescent="0.25">
      <c r="B8" s="5" t="s">
        <v>72</v>
      </c>
      <c r="C8" s="5" t="s">
        <v>55</v>
      </c>
      <c r="D8" s="5">
        <v>5</v>
      </c>
      <c r="E8" s="61">
        <v>5</v>
      </c>
      <c r="F8" s="59">
        <v>5</v>
      </c>
      <c r="G8" s="59">
        <v>5</v>
      </c>
      <c r="H8" s="59">
        <f>(InvoiceDetails[[#This Row],[Cant.]]*InvoiceDetails[[#This Row],[Precio por unidad]])-InvoiceDetails[[#This Row],[Descuento]]</f>
        <v>20</v>
      </c>
    </row>
    <row r="9" spans="2:8" ht="33.950000000000003" customHeight="1" x14ac:dyDescent="0.25">
      <c r="B9" s="5" t="s">
        <v>73</v>
      </c>
      <c r="C9" s="5" t="s">
        <v>55</v>
      </c>
      <c r="D9" s="5">
        <v>6</v>
      </c>
      <c r="E9" s="61">
        <v>6</v>
      </c>
      <c r="F9" s="59">
        <v>6</v>
      </c>
      <c r="G9" s="59">
        <v>6</v>
      </c>
      <c r="H9" s="59">
        <f>(InvoiceDetails[[#This Row],[Cant.]]*InvoiceDetails[[#This Row],[Precio por unidad]])-InvoiceDetails[[#This Row],[Descuento]]</f>
        <v>30</v>
      </c>
    </row>
    <row r="10" spans="2:8" ht="33.950000000000003" customHeight="1" x14ac:dyDescent="0.25">
      <c r="B10" s="5" t="s">
        <v>74</v>
      </c>
      <c r="C10" s="5" t="s">
        <v>55</v>
      </c>
      <c r="D10" s="5">
        <v>7</v>
      </c>
      <c r="E10" s="61">
        <v>7</v>
      </c>
      <c r="F10" s="59">
        <v>7</v>
      </c>
      <c r="G10" s="59">
        <v>7</v>
      </c>
      <c r="H10" s="59">
        <f>(InvoiceDetails[[#This Row],[Cant.]]*InvoiceDetails[[#This Row],[Precio por unidad]])-InvoiceDetails[[#This Row],[Descuento]]</f>
        <v>42</v>
      </c>
    </row>
    <row r="11" spans="2:8" ht="33.950000000000003" customHeight="1" x14ac:dyDescent="0.25">
      <c r="B11" s="5" t="s">
        <v>75</v>
      </c>
      <c r="C11" s="5" t="s">
        <v>55</v>
      </c>
      <c r="D11" s="5">
        <v>8</v>
      </c>
      <c r="E11" s="61">
        <v>8</v>
      </c>
      <c r="F11" s="59">
        <v>8</v>
      </c>
      <c r="G11" s="59">
        <v>8</v>
      </c>
      <c r="H11" s="59">
        <f>(InvoiceDetails[[#This Row],[Cant.]]*InvoiceDetails[[#This Row],[Precio por unidad]])-InvoiceDetails[[#This Row],[Descuento]]</f>
        <v>56</v>
      </c>
    </row>
    <row r="12" spans="2:8" ht="33.950000000000003" customHeight="1" x14ac:dyDescent="0.25">
      <c r="B12" s="5" t="s">
        <v>76</v>
      </c>
      <c r="C12" s="5" t="s">
        <v>55</v>
      </c>
      <c r="D12" s="5">
        <v>9</v>
      </c>
      <c r="E12" s="61">
        <v>9</v>
      </c>
      <c r="F12" s="59">
        <v>9</v>
      </c>
      <c r="G12" s="59">
        <v>9</v>
      </c>
      <c r="H12" s="59">
        <f>(InvoiceDetails[[#This Row],[Cant.]]*InvoiceDetails[[#This Row],[Precio por unidad]])-InvoiceDetails[[#This Row],[Descuento]]</f>
        <v>72</v>
      </c>
    </row>
    <row r="13" spans="2:8" ht="33.950000000000003" customHeight="1" x14ac:dyDescent="0.25">
      <c r="B13" s="5" t="s">
        <v>77</v>
      </c>
      <c r="C13" s="5" t="s">
        <v>55</v>
      </c>
      <c r="D13" s="5">
        <v>10</v>
      </c>
      <c r="E13" s="61">
        <v>10</v>
      </c>
      <c r="F13" s="59">
        <v>10</v>
      </c>
      <c r="G13" s="59">
        <v>10</v>
      </c>
      <c r="H13" s="59">
        <f>(InvoiceDetails[[#This Row],[Cant.]]*InvoiceDetails[[#This Row],[Precio por unidad]])-InvoiceDetails[[#This Row],[Descuento]]</f>
        <v>90</v>
      </c>
    </row>
    <row r="14" spans="2:8" ht="33.950000000000003" customHeight="1" x14ac:dyDescent="0.25">
      <c r="B14" s="5" t="s">
        <v>78</v>
      </c>
      <c r="C14" s="5" t="s">
        <v>55</v>
      </c>
      <c r="D14" s="5">
        <v>11</v>
      </c>
      <c r="E14" s="61">
        <v>11</v>
      </c>
      <c r="F14" s="59">
        <v>11</v>
      </c>
      <c r="G14" s="59">
        <v>11</v>
      </c>
      <c r="H14" s="59">
        <f>(InvoiceDetails[[#This Row],[Cant.]]*InvoiceDetails[[#This Row],[Precio por unidad]])-InvoiceDetails[[#This Row],[Descuento]]</f>
        <v>110</v>
      </c>
    </row>
    <row r="15" spans="2:8" ht="33.950000000000003" customHeight="1" x14ac:dyDescent="0.25">
      <c r="B15" s="5" t="s">
        <v>79</v>
      </c>
      <c r="C15" s="5" t="s">
        <v>55</v>
      </c>
      <c r="D15" s="5">
        <v>12</v>
      </c>
      <c r="E15" s="61">
        <v>12</v>
      </c>
      <c r="F15" s="59">
        <v>12</v>
      </c>
      <c r="G15" s="59">
        <v>12</v>
      </c>
      <c r="H15" s="59">
        <f>(InvoiceDetails[[#This Row],[Cant.]]*InvoiceDetails[[#This Row],[Precio por unidad]])-InvoiceDetails[[#This Row],[Descuento]]</f>
        <v>132</v>
      </c>
    </row>
    <row r="16" spans="2:8" ht="33.950000000000003" customHeight="1" x14ac:dyDescent="0.25">
      <c r="B16" s="5" t="s">
        <v>80</v>
      </c>
      <c r="C16" s="5" t="s">
        <v>55</v>
      </c>
      <c r="D16" s="5">
        <v>13</v>
      </c>
      <c r="E16" s="61">
        <v>13</v>
      </c>
      <c r="F16" s="59">
        <v>13</v>
      </c>
      <c r="G16" s="59">
        <v>13</v>
      </c>
      <c r="H16" s="59">
        <f>(InvoiceDetails[[#This Row],[Cant.]]*InvoiceDetails[[#This Row],[Precio por unidad]])-InvoiceDetails[[#This Row],[Descuento]]</f>
        <v>156</v>
      </c>
    </row>
    <row r="17" spans="2:8" ht="33.950000000000003" customHeight="1" x14ac:dyDescent="0.25">
      <c r="B17" s="5" t="s">
        <v>81</v>
      </c>
      <c r="C17" s="5" t="s">
        <v>55</v>
      </c>
      <c r="D17" s="5">
        <v>14</v>
      </c>
      <c r="E17" s="61">
        <v>14</v>
      </c>
      <c r="F17" s="59">
        <v>14</v>
      </c>
      <c r="G17" s="59">
        <v>14</v>
      </c>
      <c r="H17" s="59">
        <f>(InvoiceDetails[[#This Row],[Cant.]]*InvoiceDetails[[#This Row],[Precio por unidad]])-InvoiceDetails[[#This Row],[Descuento]]</f>
        <v>182</v>
      </c>
    </row>
    <row r="18" spans="2:8" ht="33.950000000000003" customHeight="1" x14ac:dyDescent="0.25">
      <c r="B18" s="5" t="s">
        <v>82</v>
      </c>
      <c r="C18" s="5" t="s">
        <v>55</v>
      </c>
      <c r="D18" s="5">
        <v>15</v>
      </c>
      <c r="E18" s="61">
        <v>15</v>
      </c>
      <c r="F18" s="59">
        <v>15</v>
      </c>
      <c r="G18" s="59">
        <v>15</v>
      </c>
      <c r="H18" s="59">
        <f>(InvoiceDetails[[#This Row],[Cant.]]*InvoiceDetails[[#This Row],[Precio por unidad]])-InvoiceDetails[[#This Row],[Descuento]]</f>
        <v>210</v>
      </c>
    </row>
    <row r="19" spans="2:8" ht="33.950000000000003" customHeight="1" x14ac:dyDescent="0.25">
      <c r="B19" s="5" t="s">
        <v>83</v>
      </c>
      <c r="C19" s="5" t="s">
        <v>55</v>
      </c>
      <c r="D19" s="5">
        <v>16</v>
      </c>
      <c r="E19" s="61">
        <v>16</v>
      </c>
      <c r="F19" s="59">
        <v>16</v>
      </c>
      <c r="G19" s="59">
        <v>16</v>
      </c>
      <c r="H19" s="59">
        <f>(InvoiceDetails[[#This Row],[Cant.]]*InvoiceDetails[[#This Row],[Precio por unidad]])-InvoiceDetails[[#This Row],[Descuento]]</f>
        <v>240</v>
      </c>
    </row>
    <row r="20" spans="2:8" ht="33.950000000000003" customHeight="1" x14ac:dyDescent="0.25">
      <c r="B20" s="5" t="s">
        <v>84</v>
      </c>
      <c r="C20" s="5" t="s">
        <v>55</v>
      </c>
      <c r="D20" s="5">
        <v>17</v>
      </c>
      <c r="E20" s="61">
        <v>17</v>
      </c>
      <c r="F20" s="59">
        <v>17</v>
      </c>
      <c r="G20" s="59">
        <v>17</v>
      </c>
      <c r="H20" s="59">
        <f>(InvoiceDetails[[#This Row],[Cant.]]*InvoiceDetails[[#This Row],[Precio por unidad]])-InvoiceDetails[[#This Row],[Descuento]]</f>
        <v>272</v>
      </c>
    </row>
    <row r="21" spans="2:8" ht="33.950000000000003" customHeight="1" x14ac:dyDescent="0.25">
      <c r="B21" s="5" t="s">
        <v>85</v>
      </c>
      <c r="C21" s="5" t="s">
        <v>55</v>
      </c>
      <c r="D21" s="5">
        <v>18</v>
      </c>
      <c r="E21" s="61">
        <v>18</v>
      </c>
      <c r="F21" s="59">
        <v>18</v>
      </c>
      <c r="G21" s="59">
        <v>18</v>
      </c>
      <c r="H21" s="59">
        <f>(InvoiceDetails[[#This Row],[Cant.]]*InvoiceDetails[[#This Row],[Precio por unidad]])-InvoiceDetails[[#This Row],[Descuento]]</f>
        <v>306</v>
      </c>
    </row>
    <row r="22" spans="2:8" ht="33.950000000000003" customHeight="1" x14ac:dyDescent="0.25">
      <c r="B22" s="5" t="s">
        <v>86</v>
      </c>
      <c r="C22" s="5" t="s">
        <v>55</v>
      </c>
      <c r="D22" s="5">
        <v>19</v>
      </c>
      <c r="E22" s="61">
        <v>19</v>
      </c>
      <c r="F22" s="59">
        <v>19</v>
      </c>
      <c r="G22" s="59">
        <v>19</v>
      </c>
      <c r="H22" s="59">
        <f>(InvoiceDetails[[#This Row],[Cant.]]*InvoiceDetails[[#This Row],[Precio por unidad]])-InvoiceDetails[[#This Row],[Descuento]]</f>
        <v>342</v>
      </c>
    </row>
    <row r="23" spans="2:8" ht="33.950000000000003" customHeight="1" x14ac:dyDescent="0.25">
      <c r="B23" s="5" t="s">
        <v>87</v>
      </c>
      <c r="C23" s="5" t="s">
        <v>55</v>
      </c>
      <c r="D23" s="5">
        <v>20</v>
      </c>
      <c r="E23" s="61">
        <v>20</v>
      </c>
      <c r="F23" s="59">
        <v>20</v>
      </c>
      <c r="G23" s="59">
        <v>20</v>
      </c>
      <c r="H23" s="59">
        <f>(InvoiceDetails[[#This Row],[Cant.]]*InvoiceDetails[[#This Row],[Precio por unidad]])-InvoiceDetails[[#This Row],[Descuento]]</f>
        <v>380</v>
      </c>
    </row>
    <row r="24" spans="2:8" ht="33.950000000000003" customHeight="1" x14ac:dyDescent="0.25">
      <c r="B24" s="5" t="s">
        <v>88</v>
      </c>
      <c r="C24" s="5" t="s">
        <v>55</v>
      </c>
      <c r="D24" s="5">
        <v>21</v>
      </c>
      <c r="E24" s="61">
        <v>21</v>
      </c>
      <c r="F24" s="59">
        <v>21</v>
      </c>
      <c r="G24" s="59">
        <v>21</v>
      </c>
      <c r="H24" s="59">
        <f>(InvoiceDetails[[#This Row],[Cant.]]*InvoiceDetails[[#This Row],[Precio por unidad]])-InvoiceDetails[[#This Row],[Descuento]]</f>
        <v>420</v>
      </c>
    </row>
    <row r="25" spans="2:8" ht="33.950000000000003" customHeight="1" x14ac:dyDescent="0.25">
      <c r="B25" s="5" t="s">
        <v>89</v>
      </c>
      <c r="C25" s="5" t="s">
        <v>55</v>
      </c>
      <c r="D25" s="5">
        <v>22</v>
      </c>
      <c r="E25" s="61">
        <v>22</v>
      </c>
      <c r="F25" s="59">
        <v>22</v>
      </c>
      <c r="G25" s="59">
        <v>22</v>
      </c>
      <c r="H25" s="59">
        <f>(InvoiceDetails[[#This Row],[Cant.]]*InvoiceDetails[[#This Row],[Precio por unidad]])-InvoiceDetails[[#This Row],[Descuento]]</f>
        <v>462</v>
      </c>
    </row>
    <row r="26" spans="2:8" ht="33.950000000000003" customHeight="1" x14ac:dyDescent="0.25">
      <c r="B26" s="5" t="s">
        <v>90</v>
      </c>
      <c r="C26" s="5" t="s">
        <v>55</v>
      </c>
      <c r="D26" s="5">
        <v>23</v>
      </c>
      <c r="E26" s="61">
        <v>23</v>
      </c>
      <c r="F26" s="59">
        <v>23</v>
      </c>
      <c r="G26" s="59">
        <v>23</v>
      </c>
      <c r="H26" s="59">
        <f>(InvoiceDetails[[#This Row],[Cant.]]*InvoiceDetails[[#This Row],[Precio por unidad]])-InvoiceDetails[[#This Row],[Descuento]]</f>
        <v>506</v>
      </c>
    </row>
    <row r="27" spans="2:8" ht="33.950000000000003" customHeight="1" x14ac:dyDescent="0.25">
      <c r="B27" s="5" t="s">
        <v>91</v>
      </c>
      <c r="C27" s="5" t="s">
        <v>55</v>
      </c>
      <c r="D27" s="5">
        <v>24</v>
      </c>
      <c r="E27" s="61">
        <v>24</v>
      </c>
      <c r="F27" s="59">
        <v>24</v>
      </c>
      <c r="G27" s="59">
        <v>24</v>
      </c>
      <c r="H27" s="59">
        <f>(InvoiceDetails[[#This Row],[Cant.]]*InvoiceDetails[[#This Row],[Precio por unidad]])-InvoiceDetails[[#This Row],[Descuento]]</f>
        <v>552</v>
      </c>
    </row>
    <row r="28" spans="2:8" ht="33.950000000000003" customHeight="1" x14ac:dyDescent="0.25">
      <c r="B28" s="5" t="s">
        <v>92</v>
      </c>
      <c r="C28" s="5" t="s">
        <v>55</v>
      </c>
      <c r="D28" s="5">
        <v>25</v>
      </c>
      <c r="E28" s="61">
        <v>25</v>
      </c>
      <c r="F28" s="59">
        <v>25</v>
      </c>
      <c r="G28" s="59">
        <v>25</v>
      </c>
      <c r="H28" s="59">
        <f>(InvoiceDetails[[#This Row],[Cant.]]*InvoiceDetails[[#This Row],[Precio por unidad]])-InvoiceDetails[[#This Row],[Descuento]]</f>
        <v>600</v>
      </c>
    </row>
    <row r="29" spans="2:8" ht="33.950000000000003" customHeight="1" x14ac:dyDescent="0.25">
      <c r="B29" s="5" t="s">
        <v>93</v>
      </c>
      <c r="C29" s="5" t="s">
        <v>23</v>
      </c>
      <c r="D29" s="5" t="s">
        <v>105</v>
      </c>
      <c r="E29" s="61">
        <v>39</v>
      </c>
      <c r="F29" s="59">
        <v>5</v>
      </c>
      <c r="G29" s="59"/>
      <c r="H29" s="59">
        <f>(InvoiceDetails[[#This Row],[Cant.]]*InvoiceDetails[[#This Row],[Precio por unidad]])-InvoiceDetails[[#This Row],[Descuento]]</f>
        <v>195</v>
      </c>
    </row>
    <row r="30" spans="2:8" ht="33.950000000000003" customHeight="1" x14ac:dyDescent="0.25">
      <c r="B30" s="5" t="s">
        <v>94</v>
      </c>
      <c r="C30" s="5" t="s">
        <v>23</v>
      </c>
      <c r="D30" s="5" t="s">
        <v>106</v>
      </c>
      <c r="E30" s="61">
        <v>40</v>
      </c>
      <c r="F30" s="59">
        <v>4</v>
      </c>
      <c r="G30" s="59">
        <v>5</v>
      </c>
      <c r="H30" s="59">
        <f>(InvoiceDetails[[#This Row],[Cant.]]*InvoiceDetails[[#This Row],[Precio por unidad]])-InvoiceDetails[[#This Row],[Descuento]]</f>
        <v>155</v>
      </c>
    </row>
    <row r="31" spans="2:8" ht="33.950000000000003" customHeight="1" x14ac:dyDescent="0.25">
      <c r="B31" s="5" t="s">
        <v>95</v>
      </c>
      <c r="C31" s="5" t="s">
        <v>23</v>
      </c>
      <c r="D31" s="5" t="s">
        <v>107</v>
      </c>
      <c r="E31" s="61">
        <v>30</v>
      </c>
      <c r="F31" s="59">
        <v>6</v>
      </c>
      <c r="G31" s="59">
        <v>7</v>
      </c>
      <c r="H31" s="59">
        <f>(InvoiceDetails[[#This Row],[Cant.]]*InvoiceDetails[[#This Row],[Precio por unidad]])-InvoiceDetails[[#This Row],[Descuento]]</f>
        <v>173</v>
      </c>
    </row>
    <row r="32" spans="2:8" ht="33.950000000000003" customHeight="1" x14ac:dyDescent="0.25">
      <c r="B32" s="5" t="s">
        <v>96</v>
      </c>
      <c r="C32" s="5" t="s">
        <v>23</v>
      </c>
      <c r="D32" s="5" t="s">
        <v>108</v>
      </c>
      <c r="E32" s="61">
        <v>40</v>
      </c>
      <c r="F32" s="59">
        <v>7</v>
      </c>
      <c r="G32" s="59"/>
      <c r="H32" s="59">
        <f>(InvoiceDetails[[#This Row],[Cant.]]*InvoiceDetails[[#This Row],[Precio por unidad]])-InvoiceDetails[[#This Row],[Descuento]]</f>
        <v>280</v>
      </c>
    </row>
    <row r="33" spans="2:8" ht="33.950000000000003" customHeight="1" x14ac:dyDescent="0.25">
      <c r="B33" s="5" t="s">
        <v>97</v>
      </c>
      <c r="C33" s="5" t="s">
        <v>23</v>
      </c>
      <c r="D33" s="5" t="s">
        <v>109</v>
      </c>
      <c r="E33" s="61">
        <v>10</v>
      </c>
      <c r="F33" s="59">
        <v>4</v>
      </c>
      <c r="G33" s="59"/>
      <c r="H33" s="59">
        <f>(InvoiceDetails[[#This Row],[Cant.]]*InvoiceDetails[[#This Row],[Precio por unidad]])-InvoiceDetails[[#This Row],[Descuento]]</f>
        <v>40</v>
      </c>
    </row>
    <row r="34" spans="2:8" ht="33.950000000000003" customHeight="1" x14ac:dyDescent="0.25">
      <c r="B34" s="5" t="s">
        <v>98</v>
      </c>
      <c r="C34" s="5" t="s">
        <v>23</v>
      </c>
      <c r="D34" s="5" t="s">
        <v>110</v>
      </c>
      <c r="E34" s="61">
        <v>5</v>
      </c>
      <c r="F34" s="59">
        <v>8</v>
      </c>
      <c r="G34" s="59"/>
      <c r="H34" s="59">
        <f>(InvoiceDetails[[#This Row],[Cant.]]*InvoiceDetails[[#This Row],[Precio por unidad]])-InvoiceDetails[[#This Row],[Descuento]]</f>
        <v>40</v>
      </c>
    </row>
    <row r="35" spans="2:8" ht="33.950000000000003" customHeight="1" x14ac:dyDescent="0.25">
      <c r="B35" s="5" t="s">
        <v>99</v>
      </c>
      <c r="C35" s="5" t="s">
        <v>23</v>
      </c>
      <c r="D35" s="5" t="s">
        <v>111</v>
      </c>
      <c r="E35" s="61">
        <v>70</v>
      </c>
      <c r="F35" s="59">
        <v>6</v>
      </c>
      <c r="G35" s="59"/>
      <c r="H35" s="59">
        <f>(InvoiceDetails[[#This Row],[Cant.]]*InvoiceDetails[[#This Row],[Precio por unidad]])-InvoiceDetails[[#This Row],[Descuento]]</f>
        <v>420</v>
      </c>
    </row>
    <row r="36" spans="2:8" ht="33.950000000000003" customHeight="1" x14ac:dyDescent="0.25">
      <c r="B36" s="5" t="s">
        <v>100</v>
      </c>
      <c r="C36" s="5" t="s">
        <v>23</v>
      </c>
      <c r="D36" s="5" t="s">
        <v>112</v>
      </c>
      <c r="E36" s="61">
        <v>25</v>
      </c>
      <c r="F36" s="59">
        <v>4</v>
      </c>
      <c r="G36" s="59"/>
      <c r="H36" s="59">
        <f>(InvoiceDetails[[#This Row],[Cant.]]*InvoiceDetails[[#This Row],[Precio por unidad]])-InvoiceDetails[[#This Row],[Descuento]]</f>
        <v>100</v>
      </c>
    </row>
    <row r="37" spans="2:8" ht="33.950000000000003" customHeight="1" x14ac:dyDescent="0.25">
      <c r="B37" s="5" t="s">
        <v>101</v>
      </c>
      <c r="C37" s="5" t="s">
        <v>23</v>
      </c>
      <c r="D37" s="5" t="s">
        <v>113</v>
      </c>
      <c r="E37" s="61">
        <v>5</v>
      </c>
      <c r="F37" s="59">
        <v>7</v>
      </c>
      <c r="G37" s="59">
        <v>3</v>
      </c>
      <c r="H37" s="59">
        <f>(InvoiceDetails[[#This Row],[Cant.]]*InvoiceDetails[[#This Row],[Precio por unidad]])-InvoiceDetails[[#This Row],[Descuento]]</f>
        <v>32</v>
      </c>
    </row>
    <row r="38" spans="2:8" ht="33.950000000000003" customHeight="1" x14ac:dyDescent="0.25">
      <c r="B38" s="5" t="s">
        <v>102</v>
      </c>
      <c r="C38" s="5" t="s">
        <v>23</v>
      </c>
      <c r="D38" s="5" t="s">
        <v>114</v>
      </c>
      <c r="E38" s="61">
        <v>80</v>
      </c>
      <c r="F38" s="59">
        <v>1</v>
      </c>
      <c r="G38" s="59"/>
      <c r="H38" s="59">
        <f>(InvoiceDetails[[#This Row],[Cant.]]*InvoiceDetails[[#This Row],[Precio por unidad]])-InvoiceDetails[[#This Row],[Descuento]]</f>
        <v>80</v>
      </c>
    </row>
    <row r="39" spans="2:8" ht="33.950000000000003" customHeight="1" x14ac:dyDescent="0.25">
      <c r="B39" s="5" t="s">
        <v>103</v>
      </c>
      <c r="C39" s="5" t="s">
        <v>23</v>
      </c>
      <c r="D39" s="5" t="s">
        <v>115</v>
      </c>
      <c r="E39" s="61">
        <v>65</v>
      </c>
      <c r="F39" s="59">
        <v>7</v>
      </c>
      <c r="G39" s="59"/>
      <c r="H39" s="59">
        <f>(InvoiceDetails[[#This Row],[Cant.]]*InvoiceDetails[[#This Row],[Precio por unidad]])-InvoiceDetails[[#This Row],[Descuento]]</f>
        <v>455</v>
      </c>
    </row>
    <row r="40" spans="2:8" ht="33.950000000000003" customHeight="1" x14ac:dyDescent="0.25">
      <c r="B40" s="5" t="s">
        <v>104</v>
      </c>
      <c r="C40" s="5" t="s">
        <v>23</v>
      </c>
      <c r="D40" s="5" t="s">
        <v>116</v>
      </c>
      <c r="E40" s="61">
        <v>44</v>
      </c>
      <c r="F40" s="59">
        <v>1</v>
      </c>
      <c r="G40" s="59"/>
      <c r="H40" s="59">
        <f>(InvoiceDetails[[#This Row],[Cant.]]*InvoiceDetails[[#This Row],[Precio por unidad]])-InvoiceDetails[[#This Row],[Descuento]]</f>
        <v>44</v>
      </c>
    </row>
  </sheetData>
  <sheetProtection formatCells="0" formatColumns="0" formatRows="0" insertRows="0" deleteRows="0" selectLockedCells="1" sort="0" autoFilter="0" pivotTables="0"/>
  <conditionalFormatting sqref="C4:C40">
    <cfRule type="expression" dxfId="19" priority="52">
      <formula>COUNTIF($C$4:$C$40,C4)&gt;25</formula>
    </cfRule>
  </conditionalFormatting>
  <dataValidations count="1">
    <dataValidation type="list" allowBlank="1" showInputMessage="1" showErrorMessage="1" errorTitle="Datos no válidos" error="Por favor, seleccione una factura de esta lista. Si no se muestra el nº de su factura, compruebe la hoja de cálculo llamada Facturas - principales." sqref="C4:C40" xr:uid="{00000000-0002-0000-0300-000000000000}">
      <formula1>Invoice_No</formula1>
    </dataValidation>
  </dataValidations>
  <printOptions horizontalCentered="1"/>
  <pageMargins left="0.25" right="0.25" top="0.75" bottom="0.75" header="0.3" footer="0.3"/>
  <pageSetup paperSize="9" fitToHeight="0" orientation="landscape" r:id="rId1"/>
  <headerFooter differentFirst="1">
    <oddFooter>Page &amp;P of &amp;N</oddFooter>
  </headerFooter>
  <ignoredErrors>
    <ignoredError sqref="H29:H40" emptyCellReference="1"/>
  </ignoredErrors>
  <drawing r:id="rId2"/>
  <tableParts count="1">
    <tablePart r:id="rId3"/>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4" tint="0.59999389629810485"/>
    <pageSetUpPr autoPageBreaks="0" fitToPage="1"/>
  </sheetPr>
  <dimension ref="A1:H40"/>
  <sheetViews>
    <sheetView showGridLines="0" zoomScaleNormal="100" workbookViewId="0"/>
  </sheetViews>
  <sheetFormatPr defaultColWidth="9.140625" defaultRowHeight="15" x14ac:dyDescent="0.25"/>
  <cols>
    <col min="1" max="1" width="2.85546875" customWidth="1"/>
    <col min="2" max="2" width="5.28515625" customWidth="1"/>
    <col min="3" max="3" width="13.28515625" customWidth="1"/>
    <col min="4" max="4" width="44.7109375" customWidth="1"/>
    <col min="5" max="5" width="13.42578125" customWidth="1"/>
    <col min="6" max="6" width="1.140625" customWidth="1"/>
    <col min="7" max="7" width="21" customWidth="1"/>
    <col min="8" max="8" width="24.7109375" customWidth="1"/>
    <col min="9" max="9" width="2.85546875" customWidth="1"/>
  </cols>
  <sheetData>
    <row r="1" spans="1:8" s="2" customFormat="1" ht="58.5" customHeight="1" thickBot="1" x14ac:dyDescent="0.3">
      <c r="A1"/>
      <c r="B1" s="18" t="s">
        <v>154</v>
      </c>
      <c r="C1" s="18"/>
      <c r="D1" s="18"/>
      <c r="E1" s="18"/>
      <c r="F1" s="16"/>
      <c r="G1" s="16"/>
      <c r="H1" s="16"/>
    </row>
    <row r="2" spans="1:8" ht="35.25" customHeight="1" thickTop="1" x14ac:dyDescent="0.25">
      <c r="B2" s="7"/>
      <c r="C2" s="7"/>
      <c r="D2" s="7"/>
      <c r="E2" s="7"/>
      <c r="F2" s="8"/>
      <c r="G2" s="8"/>
      <c r="H2" s="8"/>
    </row>
    <row r="3" spans="1:8" ht="9.75" customHeight="1" x14ac:dyDescent="0.25"/>
    <row r="4" spans="1:8" ht="57.75" customHeight="1" x14ac:dyDescent="0.25">
      <c r="B4" s="69" t="s">
        <v>118</v>
      </c>
      <c r="C4" s="69"/>
      <c r="D4" s="69"/>
      <c r="E4" s="69"/>
      <c r="F4" s="69"/>
      <c r="G4" s="69"/>
      <c r="H4" s="69"/>
    </row>
    <row r="5" spans="1:8" ht="87" customHeight="1" x14ac:dyDescent="0.25">
      <c r="B5" s="69" t="s">
        <v>119</v>
      </c>
      <c r="C5" s="69"/>
      <c r="D5" s="69"/>
      <c r="E5" s="69"/>
      <c r="F5" s="69"/>
      <c r="G5" s="69"/>
      <c r="H5" s="69"/>
    </row>
    <row r="6" spans="1:8" ht="23.25" customHeight="1" x14ac:dyDescent="0.25">
      <c r="B6" s="70" t="s">
        <v>120</v>
      </c>
      <c r="C6" s="70"/>
      <c r="D6" s="70"/>
      <c r="E6" s="70"/>
      <c r="F6" s="70"/>
      <c r="G6" s="70"/>
      <c r="H6" s="70"/>
    </row>
    <row r="7" spans="1:8" ht="19.5" customHeight="1" x14ac:dyDescent="0.25">
      <c r="B7" s="69" t="s">
        <v>121</v>
      </c>
      <c r="C7" s="69"/>
      <c r="D7" s="69"/>
      <c r="E7" s="69"/>
      <c r="F7" s="69"/>
      <c r="G7" s="69"/>
      <c r="H7" s="69"/>
    </row>
    <row r="8" spans="1:8" ht="22.5" customHeight="1" x14ac:dyDescent="0.25">
      <c r="B8" s="41" t="s">
        <v>122</v>
      </c>
      <c r="C8" s="69" t="s">
        <v>155</v>
      </c>
      <c r="D8" s="69"/>
      <c r="E8" s="69"/>
      <c r="F8" s="69"/>
      <c r="G8" s="69"/>
      <c r="H8" s="69"/>
    </row>
    <row r="9" spans="1:8" ht="33.75" customHeight="1" x14ac:dyDescent="0.25">
      <c r="B9" s="41"/>
      <c r="C9" s="69" t="s">
        <v>133</v>
      </c>
      <c r="D9" s="69"/>
      <c r="E9" s="69"/>
      <c r="F9" s="69"/>
      <c r="G9" s="69"/>
      <c r="H9" s="69"/>
    </row>
    <row r="10" spans="1:8" ht="37.5" customHeight="1" x14ac:dyDescent="0.25">
      <c r="B10" s="41" t="s">
        <v>123</v>
      </c>
      <c r="C10" s="69" t="s">
        <v>134</v>
      </c>
      <c r="D10" s="69"/>
      <c r="E10" s="69"/>
      <c r="F10" s="69"/>
      <c r="G10" s="69"/>
      <c r="H10" s="69"/>
    </row>
    <row r="11" spans="1:8" ht="33" customHeight="1" x14ac:dyDescent="0.25">
      <c r="B11" s="41"/>
      <c r="C11" s="69" t="s">
        <v>161</v>
      </c>
      <c r="D11" s="69"/>
      <c r="E11" s="69"/>
      <c r="F11" s="69"/>
      <c r="G11" s="69"/>
      <c r="H11" s="69"/>
    </row>
    <row r="12" spans="1:8" ht="36.75" customHeight="1" x14ac:dyDescent="0.25">
      <c r="B12" s="41" t="s">
        <v>124</v>
      </c>
      <c r="C12" s="69" t="s">
        <v>156</v>
      </c>
      <c r="D12" s="69"/>
      <c r="E12" s="69"/>
      <c r="F12" s="69"/>
      <c r="G12" s="69"/>
      <c r="H12" s="69"/>
    </row>
    <row r="13" spans="1:8" ht="52.5" customHeight="1" x14ac:dyDescent="0.25">
      <c r="B13" s="71" t="s">
        <v>157</v>
      </c>
      <c r="C13" s="71"/>
      <c r="D13" s="71"/>
      <c r="E13" s="71"/>
      <c r="F13" s="71"/>
      <c r="G13" s="71"/>
      <c r="H13" s="71"/>
    </row>
    <row r="14" spans="1:8" ht="23.25" customHeight="1" x14ac:dyDescent="0.25">
      <c r="B14" s="41"/>
      <c r="C14" s="71" t="s">
        <v>135</v>
      </c>
      <c r="D14" s="71"/>
      <c r="E14" s="41"/>
      <c r="F14" s="41"/>
      <c r="G14" s="41"/>
      <c r="H14" s="41"/>
    </row>
    <row r="15" spans="1:8" ht="50.25" customHeight="1" x14ac:dyDescent="0.25">
      <c r="B15" s="41" t="s">
        <v>125</v>
      </c>
      <c r="C15" s="69" t="s">
        <v>136</v>
      </c>
      <c r="D15" s="69"/>
      <c r="E15" s="69"/>
      <c r="F15" s="69"/>
      <c r="G15" s="69"/>
      <c r="H15" s="69"/>
    </row>
    <row r="16" spans="1:8" ht="27.75" customHeight="1" x14ac:dyDescent="0.25">
      <c r="B16" s="70" t="s">
        <v>126</v>
      </c>
      <c r="C16" s="70"/>
      <c r="D16" s="70"/>
      <c r="E16" s="70"/>
      <c r="F16" s="70"/>
      <c r="G16" s="70"/>
      <c r="H16" s="70"/>
    </row>
    <row r="17" spans="2:8" ht="65.25" customHeight="1" x14ac:dyDescent="0.25">
      <c r="B17" s="41" t="s">
        <v>122</v>
      </c>
      <c r="C17" s="69" t="s">
        <v>137</v>
      </c>
      <c r="D17" s="69"/>
      <c r="E17" s="69"/>
      <c r="F17" s="69"/>
      <c r="G17" s="69"/>
      <c r="H17" s="69"/>
    </row>
    <row r="18" spans="2:8" ht="37.5" customHeight="1" x14ac:dyDescent="0.25">
      <c r="B18" s="41"/>
      <c r="C18" s="69" t="s">
        <v>138</v>
      </c>
      <c r="D18" s="69"/>
      <c r="E18" s="69"/>
      <c r="F18" s="69"/>
      <c r="G18" s="69"/>
      <c r="H18" s="69"/>
    </row>
    <row r="19" spans="2:8" ht="84.75" customHeight="1" x14ac:dyDescent="0.25">
      <c r="B19" s="41" t="s">
        <v>123</v>
      </c>
      <c r="C19" s="69" t="s">
        <v>139</v>
      </c>
      <c r="D19" s="69"/>
      <c r="E19" s="69"/>
      <c r="F19" s="69"/>
      <c r="G19" s="69"/>
      <c r="H19" s="69"/>
    </row>
    <row r="20" spans="2:8" ht="23.25" customHeight="1" x14ac:dyDescent="0.25">
      <c r="B20" s="41"/>
      <c r="C20" s="69" t="s">
        <v>140</v>
      </c>
      <c r="D20" s="69"/>
      <c r="E20" s="69"/>
      <c r="F20" s="69"/>
      <c r="G20" s="69"/>
      <c r="H20" s="69"/>
    </row>
    <row r="21" spans="2:8" ht="84" customHeight="1" x14ac:dyDescent="0.25">
      <c r="B21" s="41" t="s">
        <v>124</v>
      </c>
      <c r="C21" s="69" t="s">
        <v>141</v>
      </c>
      <c r="D21" s="69"/>
      <c r="E21" s="69"/>
      <c r="F21" s="69"/>
      <c r="G21" s="69"/>
      <c r="H21" s="69"/>
    </row>
    <row r="22" spans="2:8" ht="50.25" customHeight="1" x14ac:dyDescent="0.25">
      <c r="C22" s="69" t="s">
        <v>142</v>
      </c>
      <c r="D22" s="69"/>
      <c r="E22" s="69"/>
      <c r="F22" s="69"/>
      <c r="G22" s="69"/>
      <c r="H22" s="69"/>
    </row>
    <row r="23" spans="2:8" ht="23.25" customHeight="1" x14ac:dyDescent="0.25">
      <c r="B23" s="70" t="s">
        <v>127</v>
      </c>
      <c r="C23" s="70"/>
      <c r="D23" s="70"/>
      <c r="E23" s="70"/>
      <c r="F23" s="70"/>
      <c r="G23" s="70"/>
      <c r="H23" s="70"/>
    </row>
    <row r="24" spans="2:8" ht="51" customHeight="1" x14ac:dyDescent="0.25">
      <c r="B24" s="69" t="s">
        <v>128</v>
      </c>
      <c r="C24" s="69"/>
      <c r="D24" s="69"/>
      <c r="E24" s="69"/>
      <c r="F24" s="69"/>
      <c r="G24" s="69"/>
      <c r="H24" s="69"/>
    </row>
    <row r="25" spans="2:8" ht="34.5" customHeight="1" x14ac:dyDescent="0.25">
      <c r="B25" t="s">
        <v>129</v>
      </c>
      <c r="C25" s="69" t="s">
        <v>143</v>
      </c>
      <c r="D25" s="69"/>
      <c r="E25" s="69"/>
      <c r="F25" s="69"/>
      <c r="G25" s="69"/>
      <c r="H25" s="69"/>
    </row>
    <row r="26" spans="2:8" ht="33" customHeight="1" x14ac:dyDescent="0.25">
      <c r="B26" t="s">
        <v>129</v>
      </c>
      <c r="C26" s="69" t="s">
        <v>144</v>
      </c>
      <c r="D26" s="69"/>
      <c r="E26" s="69"/>
      <c r="F26" s="69"/>
      <c r="G26" s="69"/>
      <c r="H26" s="69"/>
    </row>
    <row r="27" spans="2:8" ht="20.25" customHeight="1" x14ac:dyDescent="0.25">
      <c r="B27" t="s">
        <v>129</v>
      </c>
      <c r="C27" s="69" t="s">
        <v>158</v>
      </c>
      <c r="D27" s="69"/>
      <c r="E27" s="69"/>
      <c r="F27" s="69"/>
      <c r="G27" s="69"/>
      <c r="H27" s="69"/>
    </row>
    <row r="28" spans="2:8" ht="31.5" customHeight="1" x14ac:dyDescent="0.25">
      <c r="B28" t="s">
        <v>129</v>
      </c>
      <c r="C28" s="69" t="s">
        <v>145</v>
      </c>
      <c r="D28" s="69"/>
      <c r="E28" s="69"/>
      <c r="F28" s="69"/>
      <c r="G28" s="69"/>
      <c r="H28" s="69"/>
    </row>
    <row r="29" spans="2:8" ht="23.25" customHeight="1" x14ac:dyDescent="0.25">
      <c r="B29" s="70" t="s">
        <v>130</v>
      </c>
      <c r="C29" s="70"/>
      <c r="D29" s="70"/>
      <c r="E29" s="70"/>
      <c r="F29" s="70"/>
      <c r="G29" s="70"/>
      <c r="H29" s="70"/>
    </row>
    <row r="30" spans="2:8" ht="79.5" customHeight="1" x14ac:dyDescent="0.25">
      <c r="B30" s="69" t="s">
        <v>131</v>
      </c>
      <c r="C30" s="69"/>
      <c r="D30" s="69"/>
      <c r="E30" s="69"/>
      <c r="F30" s="69"/>
      <c r="G30" s="69"/>
      <c r="H30" s="69"/>
    </row>
    <row r="31" spans="2:8" ht="48.75" customHeight="1" x14ac:dyDescent="0.25">
      <c r="B31" t="s">
        <v>129</v>
      </c>
      <c r="C31" s="69" t="s">
        <v>146</v>
      </c>
      <c r="D31" s="69"/>
      <c r="E31" s="69"/>
      <c r="F31" s="69"/>
      <c r="G31" s="69"/>
      <c r="H31" s="69"/>
    </row>
    <row r="32" spans="2:8" ht="33.75" customHeight="1" x14ac:dyDescent="0.25">
      <c r="C32" s="69" t="s">
        <v>159</v>
      </c>
      <c r="D32" s="69"/>
      <c r="E32" s="69"/>
      <c r="F32" s="69"/>
      <c r="G32" s="69"/>
      <c r="H32" s="69"/>
    </row>
    <row r="33" spans="2:8" ht="54" customHeight="1" x14ac:dyDescent="0.25">
      <c r="B33" t="s">
        <v>129</v>
      </c>
      <c r="C33" s="69" t="s">
        <v>147</v>
      </c>
      <c r="D33" s="69"/>
      <c r="E33" s="69"/>
      <c r="F33" s="69"/>
      <c r="G33" s="69"/>
      <c r="H33" s="69"/>
    </row>
    <row r="34" spans="2:8" ht="34.5" customHeight="1" x14ac:dyDescent="0.25">
      <c r="B34" t="s">
        <v>129</v>
      </c>
      <c r="C34" s="69" t="s">
        <v>148</v>
      </c>
      <c r="D34" s="69"/>
      <c r="E34" s="69"/>
      <c r="F34" s="69"/>
      <c r="G34" s="69"/>
      <c r="H34" s="69"/>
    </row>
    <row r="35" spans="2:8" ht="38.25" customHeight="1" x14ac:dyDescent="0.25">
      <c r="B35" t="s">
        <v>129</v>
      </c>
      <c r="C35" s="69" t="s">
        <v>149</v>
      </c>
      <c r="D35" s="69"/>
      <c r="E35" s="69"/>
      <c r="F35" s="69"/>
      <c r="G35" s="69"/>
      <c r="H35" s="69"/>
    </row>
    <row r="36" spans="2:8" ht="21.75" customHeight="1" x14ac:dyDescent="0.25">
      <c r="B36" s="11" t="s">
        <v>132</v>
      </c>
      <c r="C36" s="12"/>
      <c r="D36" s="13"/>
      <c r="E36" s="13"/>
      <c r="F36" s="13"/>
      <c r="G36" s="13"/>
      <c r="H36" s="13"/>
    </row>
    <row r="37" spans="2:8" ht="19.5" customHeight="1" x14ac:dyDescent="0.25">
      <c r="B37" s="4" t="s">
        <v>129</v>
      </c>
      <c r="C37" s="69" t="s">
        <v>150</v>
      </c>
      <c r="D37" s="69"/>
      <c r="E37" s="69"/>
      <c r="F37" s="69"/>
      <c r="G37" s="69"/>
      <c r="H37" s="69"/>
    </row>
    <row r="38" spans="2:8" ht="19.5" customHeight="1" x14ac:dyDescent="0.25">
      <c r="B38" s="4" t="s">
        <v>129</v>
      </c>
      <c r="C38" s="69" t="s">
        <v>151</v>
      </c>
      <c r="D38" s="69"/>
      <c r="E38" s="69"/>
      <c r="F38" s="69"/>
      <c r="G38" s="69"/>
      <c r="H38" s="69"/>
    </row>
    <row r="39" spans="2:8" ht="33" customHeight="1" x14ac:dyDescent="0.25">
      <c r="B39" s="4" t="s">
        <v>129</v>
      </c>
      <c r="C39" s="69" t="s">
        <v>152</v>
      </c>
      <c r="D39" s="69"/>
      <c r="E39" s="69"/>
      <c r="F39" s="69"/>
      <c r="G39" s="69"/>
      <c r="H39" s="69"/>
    </row>
    <row r="40" spans="2:8" ht="39" customHeight="1" x14ac:dyDescent="0.25">
      <c r="B40" s="4" t="s">
        <v>129</v>
      </c>
      <c r="C40" s="69" t="s">
        <v>160</v>
      </c>
      <c r="D40" s="69"/>
      <c r="E40" s="69"/>
      <c r="F40" s="69"/>
      <c r="G40" s="69"/>
      <c r="H40" s="69"/>
    </row>
  </sheetData>
  <mergeCells count="36">
    <mergeCell ref="B4:H4"/>
    <mergeCell ref="B5:H5"/>
    <mergeCell ref="B16:H16"/>
    <mergeCell ref="C25:H25"/>
    <mergeCell ref="B6:H6"/>
    <mergeCell ref="B7:H7"/>
    <mergeCell ref="C8:H8"/>
    <mergeCell ref="C10:H10"/>
    <mergeCell ref="C12:H12"/>
    <mergeCell ref="C15:H15"/>
    <mergeCell ref="C11:H11"/>
    <mergeCell ref="C14:D14"/>
    <mergeCell ref="C17:H17"/>
    <mergeCell ref="B13:H13"/>
    <mergeCell ref="C9:H9"/>
    <mergeCell ref="C26:H26"/>
    <mergeCell ref="C27:H27"/>
    <mergeCell ref="C28:H28"/>
    <mergeCell ref="C18:H18"/>
    <mergeCell ref="C20:H20"/>
    <mergeCell ref="B23:H23"/>
    <mergeCell ref="B24:H24"/>
    <mergeCell ref="C19:H19"/>
    <mergeCell ref="C21:H21"/>
    <mergeCell ref="C22:H22"/>
    <mergeCell ref="C35:H35"/>
    <mergeCell ref="C40:H40"/>
    <mergeCell ref="C33:H33"/>
    <mergeCell ref="C39:H39"/>
    <mergeCell ref="B29:H29"/>
    <mergeCell ref="B30:H30"/>
    <mergeCell ref="C31:H31"/>
    <mergeCell ref="C34:H34"/>
    <mergeCell ref="C32:H32"/>
    <mergeCell ref="C38:H38"/>
    <mergeCell ref="C37:H37"/>
  </mergeCells>
  <hyperlinks>
    <hyperlink ref="C14:D14" r:id="rId1" location="_Toc261352312" display="Customize a document theme." xr:uid="{00000000-0004-0000-0400-000000000000}"/>
  </hyperlinks>
  <pageMargins left="0.7" right="0.7" top="0.75" bottom="0.75" header="0.3" footer="0.3"/>
  <pageSetup paperSize="9" fitToHeight="0" orientation="portrait" r:id="rId2"/>
  <ignoredErrors>
    <ignoredError sqref="B12 B15 B17 B19 B21 B10 B8" numberStoredAsText="1"/>
  </ignoredErrors>
  <drawing r:id="rId3"/>
</worksheet>
</file>

<file path=docProps/app.xml><?xml version="1.0" encoding="utf-8"?>
<ap:Properties xmlns:vt="http://schemas.openxmlformats.org/officeDocument/2006/docPropsVTypes" xmlns:ap="http://schemas.openxmlformats.org/officeDocument/2006/extended-properties">
  <ap:DocSecurity>0</ap:DocSecurity>
  <ap:Template>TM03107658</ap:Template>
  <ap:ScaleCrop>false</ap:ScaleCrop>
  <ap:HeadingPairs>
    <vt:vector baseType="variant" size="4">
      <vt:variant>
        <vt:lpstr>Worksheets</vt:lpstr>
      </vt:variant>
      <vt:variant>
        <vt:i4>5</vt:i4>
      </vt:variant>
      <vt:variant>
        <vt:lpstr>Named Ranges</vt:lpstr>
      </vt:variant>
      <vt:variant>
        <vt:i4>7</vt:i4>
      </vt:variant>
    </vt:vector>
  </ap:HeadingPairs>
  <ap:TitlesOfParts>
    <vt:vector baseType="lpstr" size="12">
      <vt:lpstr>Factura</vt:lpstr>
      <vt:lpstr>Clientes</vt:lpstr>
      <vt:lpstr>Facturas - principales</vt:lpstr>
      <vt:lpstr>Detalles de la factura</vt:lpstr>
      <vt:lpstr>Acerca de este rastreador de fa</vt:lpstr>
      <vt:lpstr>CustomerLookup</vt:lpstr>
      <vt:lpstr>Invoice_No</vt:lpstr>
      <vt:lpstr>Nombre_De_La_Empresa</vt:lpstr>
      <vt:lpstr>Clientes!Print_Titles</vt:lpstr>
      <vt:lpstr>'Detalles de la factura'!Print_Titles</vt:lpstr>
      <vt:lpstr>'Facturas - principales'!Print_Titles</vt:lpstr>
      <vt:lpstr>rngInvoice</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terms:created xsi:type="dcterms:W3CDTF">2016-11-01T03:33:07Z</dcterms:created>
  <dcterms:modified xsi:type="dcterms:W3CDTF">2019-07-29T01:13:26Z</dcterms:modified>
</cp:coreProperties>
</file>